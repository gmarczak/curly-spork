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kcja" sheetId="1" state="visible" r:id="rId1"/>
    <sheet name="Zalozenia" sheetId="2" state="visible" r:id="rId2"/>
    <sheet name="D1_Rynek" sheetId="3" state="visible" r:id="rId3"/>
    <sheet name="D2_Ekonomika" sheetId="4" state="visible" r:id="rId4"/>
    <sheet name="D3_Punktacja" sheetId="5" state="visible" r:id="rId5"/>
    <sheet name="Filtr_Wlasne" sheetId="6" state="visible" r:id="rId6"/>
  </sheets>
  <definedNames/>
  <calcPr calcId="124519" fullCalcOnLoad="1"/>
</workbook>
</file>

<file path=xl/styles.xml><?xml version="1.0" encoding="utf-8"?>
<styleSheet xmlns="http://schemas.openxmlformats.org/spreadsheetml/2006/main">
  <numFmts count="4">
    <numFmt numFmtId="164" formatCode="0.0%;-0.0%;-"/>
    <numFmt numFmtId="165" formatCode="#,##0.00 &quot;zł&quot;;-#,##0.00 &quot;zł&quot;;-"/>
    <numFmt numFmtId="166" formatCode="yyyy-mm-dd"/>
    <numFmt numFmtId="167" formatCode="0.0"/>
  </numFmts>
  <fonts count="10">
    <font>
      <name val="Calibri"/>
      <family val="2"/>
      <color theme="1"/>
      <sz val="11"/>
      <scheme val="minor"/>
    </font>
    <font>
      <name val="Arial"/>
      <b val="1"/>
      <sz val="14"/>
    </font>
    <font>
      <name val="Arial"/>
      <i val="1"/>
      <color rgb="00595959"/>
    </font>
    <font>
      <name val="Arial"/>
      <b val="1"/>
      <color rgb="00FFFFFF"/>
    </font>
    <font>
      <name val="Arial"/>
    </font>
    <font>
      <name val="Arial"/>
      <color rgb="000000FF"/>
    </font>
    <font>
      <name val="Arial"/>
      <color rgb="00008000"/>
    </font>
    <font>
      <name val="Arial"/>
      <b val="1"/>
    </font>
    <font>
      <name val="Arial"/>
      <i val="1"/>
    </font>
    <font>
      <name val="Arial"/>
      <sz val="10"/>
    </font>
  </fonts>
  <fills count="4">
    <fill>
      <patternFill/>
    </fill>
    <fill>
      <patternFill patternType="gray125"/>
    </fill>
    <fill>
      <patternFill patternType="solid">
        <fgColor rgb="0030549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9" fillId="0" borderId="0" pivotButton="0" quotePrefix="0" xfId="0"/>
    <xf numFmtId="0" fontId="2" fillId="0" borderId="0" pivotButton="0" quotePrefix="0" xfId="0"/>
    <xf numFmtId="0" fontId="7" fillId="0" borderId="0" pivotButton="0" quotePrefix="0" xfId="0"/>
    <xf numFmtId="166" fontId="4" fillId="0" borderId="0" pivotButton="0" quotePrefix="0" xfId="0"/>
    <xf numFmtId="0" fontId="3" fillId="2" borderId="0" pivotButton="0" quotePrefix="0" xfId="0"/>
    <xf numFmtId="0" fontId="4" fillId="0" borderId="1" applyAlignment="1" pivotButton="0" quotePrefix="0" xfId="0">
      <alignment vertical="top" wrapText="1"/>
    </xf>
    <xf numFmtId="164" fontId="5" fillId="0" borderId="1" applyAlignment="1" pivotButton="0" quotePrefix="0" xfId="0">
      <alignment vertical="top" wrapText="1"/>
    </xf>
    <xf numFmtId="165" fontId="5" fillId="0" borderId="1" applyAlignment="1" pivotButton="0" quotePrefix="0" xfId="0">
      <alignment vertical="top" wrapText="1"/>
    </xf>
    <xf numFmtId="2" fontId="5" fillId="3" borderId="1" applyAlignment="1" pivotButton="0" quotePrefix="0" xfId="0">
      <alignment vertical="top" wrapText="1"/>
    </xf>
    <xf numFmtId="1" fontId="5" fillId="0" borderId="1" applyAlignment="1" pivotButton="0" quotePrefix="0" xfId="0">
      <alignment vertical="top" wrapText="1"/>
    </xf>
    <xf numFmtId="165" fontId="5" fillId="3" borderId="1" applyAlignment="1" pivotButton="0" quotePrefix="0" xfId="0">
      <alignment vertical="top" wrapText="1"/>
    </xf>
    <xf numFmtId="0" fontId="3" fillId="2" borderId="1" applyAlignment="1" pivotButton="0" quotePrefix="0" xfId="0">
      <alignment vertical="center" wrapText="1"/>
    </xf>
    <xf numFmtId="3" fontId="5" fillId="3" borderId="1" applyAlignment="1" pivotButton="0" quotePrefix="0" xfId="0">
      <alignment vertical="top" wrapText="1"/>
    </xf>
    <xf numFmtId="166" fontId="5" fillId="3" borderId="1" applyAlignment="1" pivotButton="0" quotePrefix="0" xfId="0">
      <alignment vertical="top" wrapText="1"/>
    </xf>
    <xf numFmtId="0" fontId="5" fillId="3" borderId="1" applyAlignment="1" pivotButton="0" quotePrefix="0" xfId="0">
      <alignment vertical="top" wrapText="1"/>
    </xf>
    <xf numFmtId="167"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165" fontId="4" fillId="0" borderId="1" applyAlignment="1" pivotButton="0" quotePrefix="0" xfId="0">
      <alignment vertical="top" wrapText="1"/>
    </xf>
    <xf numFmtId="1" fontId="5" fillId="3" borderId="1" applyAlignment="1" pivotButton="0" quotePrefix="0" xfId="0">
      <alignment vertical="top" wrapText="1"/>
    </xf>
    <xf numFmtId="165" fontId="7" fillId="0" borderId="1" applyAlignment="1" pivotButton="0" quotePrefix="0" xfId="0">
      <alignment vertical="top" wrapText="1"/>
    </xf>
    <xf numFmtId="164" fontId="4" fillId="0" borderId="1" applyAlignment="1" pivotButton="0" quotePrefix="0" xfId="0">
      <alignment vertical="top" wrapText="1"/>
    </xf>
    <xf numFmtId="1" fontId="4" fillId="0" borderId="1" applyAlignment="1" pivotButton="0" quotePrefix="0" xfId="0">
      <alignment vertical="top" wrapText="1"/>
    </xf>
    <xf numFmtId="0" fontId="5" fillId="0" borderId="0" pivotButton="0" quotePrefix="0" xfId="0"/>
    <xf numFmtId="1" fontId="7" fillId="0" borderId="1" applyAlignment="1" pivotButton="0" quotePrefix="0" xfId="0">
      <alignment vertical="top" wrapText="1"/>
    </xf>
    <xf numFmtId="0" fontId="7" fillId="0" borderId="1" applyAlignment="1" pivotButton="0" quotePrefix="0" xfId="0">
      <alignment vertical="top" wrapText="1"/>
    </xf>
    <xf numFmtId="165" fontId="6" fillId="0" borderId="1" applyAlignment="1" pivotButton="0" quotePrefix="0" xfId="0">
      <alignment vertical="top" wrapText="1"/>
    </xf>
    <xf numFmtId="0" fontId="8" fillId="0" borderId="0" pivotButton="0" quotePrefix="0" xfId="0"/>
  </cellXfs>
  <cellStyles count="1">
    <cellStyle name="Normal" xfId="0" builtinId="0" hidden="0"/>
  </cellStyles>
  <dxfs count="3">
    <dxf>
      <fill>
        <patternFill patternType="solid">
          <fgColor rgb="00F8CBAD"/>
        </patternFill>
      </fill>
    </dxf>
    <dxf>
      <font>
        <name val="Arial"/>
        <b val="1"/>
        <color rgb="00C00000"/>
      </font>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Claude</author>
  </authors>
  <commentList>
    <comment ref="S4" authorId="0" shapeId="0">
      <text>
        <t>Heurystyka z briefu: ≥10 aktywnych i najstarsza &gt;6 mc = wypalony; najnowsza &lt;2 mc = trend. Ocena Nasycenie ustalamy i tak w rozmowie.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Sprint wyboru produktu — jak używać arkusza</t>
        </is>
      </c>
    </row>
    <row r="2">
      <c r="A2" s="2" t="inlineStr"/>
    </row>
    <row r="3">
      <c r="A3" s="2" t="inlineStr">
        <is>
          <t>1. Dzień 1: arkusz D1_Rynek — wpisz dane z Allegro, Meta Ads Library, TikTok CC, Google Trends (żółte komórki).</t>
        </is>
      </c>
    </row>
    <row r="4">
      <c r="A4" s="2" t="inlineStr">
        <is>
          <t>2. Własne pomysły: najpierw Filtr_Wlasne, potem te same wiersze w D1.</t>
        </is>
      </c>
    </row>
    <row r="5">
      <c r="A5" s="2" t="inlineStr">
        <is>
          <t>3. Dzień 2: D2_Ekonomika — wpisz realny koszt towaru i dostawy (kol. H, I). M, maks. CPA i odrzucenia liczą się same.</t>
        </is>
      </c>
    </row>
    <row r="6">
      <c r="A6" s="2" t="inlineStr">
        <is>
          <t>4. Dzień 3: D3_Punktacja — oceny 1–5 i kryteria eliminujące. Status SHORTLISTA pojawi się sam.</t>
        </is>
      </c>
    </row>
    <row r="7">
      <c r="A7" s="2" t="inlineStr"/>
    </row>
    <row r="8">
      <c r="A8" s="2" t="inlineStr">
        <is>
          <t>Kolory: niebieski tekst = wpisujesz; czarny = formuła; zielony = pobrane z innego arkusza; żółte tło = do wypełnienia/potwierdzenia.</t>
        </is>
      </c>
    </row>
    <row r="9">
      <c r="A9" s="2" t="inlineStr">
        <is>
          <t>Definicja M: cena − towar − dostawa − (1,5% ceny + 0,40 zł) − 5% ceny. Maks. CPA = M.</t>
        </is>
      </c>
    </row>
    <row r="10">
      <c r="A10" s="2" t="inlineStr">
        <is>
          <t>Budżet reklam liczony × 1,23 (VAT od importu usług) ⚠️ do weryfikacji z księgową.</t>
        </is>
      </c>
    </row>
    <row r="11">
      <c r="A11" s="2" t="inlineStr">
        <is>
          <t>Wiersze 1–12 mają wstępne dane agenta (cena przyjęta i koszt) — to szacunki, służą jako przykład i do czasu wpisania realnych liczb.</t>
        </is>
      </c>
    </row>
    <row r="12">
      <c r="A12" s="2" t="inlineStr">
        <is>
          <t>Przykład kontrolny z briefu: cena 129, towar 28, dostawa 15 → M ≈ 77 zł.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6" customWidth="1" min="1" max="1"/>
    <col width="14" customWidth="1" min="2" max="2"/>
    <col width="60" customWidth="1" min="3" max="3"/>
  </cols>
  <sheetData>
    <row r="1">
      <c r="A1" s="1" t="inlineStr">
        <is>
          <t>Założenia sprintu</t>
        </is>
      </c>
    </row>
    <row r="2">
      <c r="A2" s="3" t="inlineStr">
        <is>
          <t>Niebieskie = wartości wejściowe (możesz zmienić). Żółte tło = do potwierdzenia.</t>
        </is>
      </c>
    </row>
    <row r="3">
      <c r="A3" s="4" t="inlineStr">
        <is>
          <t>Data dzisiejsza (do wieku reklam):</t>
        </is>
      </c>
      <c r="B3" s="5">
        <f>TODAY()</f>
        <v/>
      </c>
    </row>
    <row r="4">
      <c r="A4" s="6" t="inlineStr">
        <is>
          <t>Parametr</t>
        </is>
      </c>
      <c r="B4" s="6" t="inlineStr">
        <is>
          <t>Wartość</t>
        </is>
      </c>
      <c r="C4" s="6" t="inlineStr">
        <is>
          <t>Źródło / uwaga</t>
        </is>
      </c>
    </row>
    <row r="5">
      <c r="A5" s="7" t="inlineStr">
        <is>
          <t>Prowizja płatności %</t>
        </is>
      </c>
      <c r="B5" s="8" t="n">
        <v>0.015</v>
      </c>
      <c r="C5" s="7" t="inlineStr">
        <is>
          <t>Stripe ~1,5% (z briefu właściciela)</t>
        </is>
      </c>
    </row>
    <row r="6">
      <c r="A6" s="7" t="inlineStr">
        <is>
          <t>Prowizja płatności stała (zł)</t>
        </is>
      </c>
      <c r="B6" s="9" t="n">
        <v>0.4</v>
      </c>
      <c r="C6" s="7" t="inlineStr">
        <is>
          <t>Stripe ~0,40 zł (z briefu właściciela)</t>
        </is>
      </c>
    </row>
    <row r="7">
      <c r="A7" s="7" t="inlineStr">
        <is>
          <t>Rezerwa na zwroty % ceny</t>
        </is>
      </c>
      <c r="B7" s="8" t="n">
        <v>0.05</v>
      </c>
      <c r="C7" s="7" t="inlineStr">
        <is>
          <t>Definicja M z briefu</t>
        </is>
      </c>
    </row>
    <row r="8">
      <c r="A8" s="7" t="inlineStr">
        <is>
          <t>Mnożnik VAT od reklam</t>
        </is>
      </c>
      <c r="B8" s="10" t="n">
        <v>1.23</v>
      </c>
      <c r="C8" s="7" t="inlineStr">
        <is>
          <t>⚠️ import usług, VAT-UE — do weryfikacji z księgową</t>
        </is>
      </c>
    </row>
    <row r="9">
      <c r="A9" s="7" t="inlineStr">
        <is>
          <t>Maks. udział towar+dostawa w cenie</t>
        </is>
      </c>
      <c r="B9" s="8" t="n">
        <v>0.35</v>
      </c>
      <c r="C9" s="7" t="inlineStr">
        <is>
          <t>Kryterium Marża / odrzucenie dzień 2</t>
        </is>
      </c>
    </row>
    <row r="10">
      <c r="A10" s="7" t="inlineStr">
        <is>
          <t>Minimalne M (zł)</t>
        </is>
      </c>
      <c r="B10" s="9" t="n">
        <v>40</v>
      </c>
      <c r="C10" s="7" t="inlineStr">
        <is>
          <t>Odrzucenie dzień 2</t>
        </is>
      </c>
    </row>
    <row r="11">
      <c r="A11" s="7" t="inlineStr">
        <is>
          <t>Budżet testu min (zł netto)</t>
        </is>
      </c>
      <c r="B11" s="9" t="n">
        <v>500</v>
      </c>
      <c r="C11" s="7" t="inlineStr">
        <is>
          <t>Brief</t>
        </is>
      </c>
    </row>
    <row r="12">
      <c r="A12" s="7" t="inlineStr">
        <is>
          <t>Budżet testu max (zł netto)</t>
        </is>
      </c>
      <c r="B12" s="9" t="n">
        <v>1500</v>
      </c>
      <c r="C12" s="7" t="inlineStr">
        <is>
          <t>Brief</t>
        </is>
      </c>
    </row>
    <row r="13">
      <c r="A13" s="7" t="inlineStr">
        <is>
          <t>Próg shortlisty (pkt)</t>
        </is>
      </c>
      <c r="B13" s="11" t="n">
        <v>45</v>
      </c>
      <c r="C13" s="7" t="inlineStr">
        <is>
          <t>Brief, maks. 65</t>
        </is>
      </c>
    </row>
    <row r="14">
      <c r="A14" s="7" t="inlineStr">
        <is>
          <t>Limit działalności nierejestrowanej / kwartał (zł)</t>
        </is>
      </c>
      <c r="B14" s="12" t="n">
        <v>10800</v>
      </c>
      <c r="C14" s="7" t="inlineStr">
        <is>
          <t>⚠️ 225% min. wynagrodzenia 2026 — do weryfikacji</t>
        </is>
      </c>
    </row>
    <row r="15">
      <c r="A15" s="7" t="inlineStr">
        <is>
          <t>Cena min kryterium (zł)</t>
        </is>
      </c>
      <c r="B15" s="9" t="n">
        <v>60</v>
      </c>
      <c r="C15" s="7" t="inlineStr">
        <is>
          <t>Kryterium Cena</t>
        </is>
      </c>
    </row>
    <row r="16">
      <c r="A16" s="7" t="inlineStr">
        <is>
          <t>Cena max kryterium (zł)</t>
        </is>
      </c>
      <c r="B16" s="9" t="n">
        <v>250</v>
      </c>
      <c r="C16" s="7" t="inlineStr">
        <is>
          <t>Kryterium Cena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34" customWidth="1" min="3" max="3"/>
    <col width="28" customWidth="1" min="4" max="4"/>
    <col width="11" customWidth="1" min="5" max="5"/>
    <col width="12" customWidth="1" min="6" max="6"/>
    <col width="11" customWidth="1" min="7" max="7"/>
    <col width="11" customWidth="1" min="8" max="8"/>
    <col width="13" customWidth="1" min="9" max="9"/>
    <col width="11" customWidth="1" min="10" max="10"/>
    <col width="13" customWidth="1" min="11" max="11"/>
    <col width="13" customWidth="1" min="12" max="12"/>
    <col width="9" customWidth="1" min="13" max="13"/>
    <col width="10" customWidth="1" min="14" max="14"/>
    <col width="9" customWidth="1" min="15" max="15"/>
    <col width="34" customWidth="1" min="16" max="16"/>
    <col width="10" customWidth="1" min="17" max="17"/>
    <col width="16" customWidth="1" min="18" max="18"/>
    <col width="22" customWidth="1" min="19" max="19"/>
    <col width="30" customWidth="1" min="20" max="20"/>
  </cols>
  <sheetData>
    <row r="1">
      <c r="A1" s="1" t="inlineStr">
        <is>
          <t>Dzień 1 — weryfikacja rynku</t>
        </is>
      </c>
    </row>
    <row r="2">
      <c r="A2" s="3" t="inlineStr">
        <is>
          <t>Wypełniasz niebieskie kolumny. Pozycje #13–17 = własne pomysły (najpierw arkusz Filtr_Wlasne). Daty w formacie RRRR-MM-DD.</t>
        </is>
      </c>
    </row>
    <row r="4" ht="45" customHeight="1">
      <c r="A4" s="13" t="inlineStr">
        <is>
          <t>#</t>
        </is>
      </c>
      <c r="B4" s="13" t="inlineStr">
        <is>
          <t>Kandydat</t>
        </is>
      </c>
      <c r="C4" s="13" t="inlineStr">
        <is>
          <t>Fraza PL (Allegro, Meta)</t>
        </is>
      </c>
      <c r="D4" s="13" t="inlineStr">
        <is>
          <t>Fraza EN (Meta)</t>
        </is>
      </c>
      <c r="E4" s="13" t="inlineStr">
        <is>
          <t>Allegro: cena min</t>
        </is>
      </c>
      <c r="F4" s="13" t="inlineStr">
        <is>
          <t>Allegro: mediana top 10</t>
        </is>
      </c>
      <c r="G4" s="13" t="inlineStr">
        <is>
          <t>Allegro: cena max</t>
        </is>
      </c>
      <c r="H4" s="13" t="inlineStr">
        <is>
          <t>Allegro: liczba ofert</t>
        </is>
      </c>
      <c r="I4" s="13" t="inlineStr">
        <is>
          <t>Max „X osób kupiło” (1 oferta)</t>
        </is>
      </c>
      <c r="J4" s="13" t="inlineStr">
        <is>
          <t>Meta: aktywne reklamy</t>
        </is>
      </c>
      <c r="K4" s="13" t="inlineStr">
        <is>
          <t>Meta: najstarsza (data)</t>
        </is>
      </c>
      <c r="L4" s="13" t="inlineStr">
        <is>
          <t>Meta: najnowsza (data)</t>
        </is>
      </c>
      <c r="M4" s="13" t="inlineStr">
        <is>
          <t>Meta: wideo T/N</t>
        </is>
      </c>
      <c r="N4" s="13" t="inlineStr">
        <is>
          <t>Wiek najstarszej (mc)</t>
        </is>
      </c>
      <c r="O4" s="13" t="inlineStr">
        <is>
          <t>TikTok: filmy T/N</t>
        </is>
      </c>
      <c r="P4" s="13" t="inlineStr">
        <is>
          <t>Hook (pierwsze 3 s)</t>
        </is>
      </c>
      <c r="Q4" s="13" t="inlineStr">
        <is>
          <t>Trends: ↑ / → / ↓</t>
        </is>
      </c>
      <c r="R4" s="13" t="inlineStr">
        <is>
          <t>Szczyt sezonu (miesiące)</t>
        </is>
      </c>
      <c r="S4" s="13" t="inlineStr">
        <is>
          <t>Sygnał nasycenia (auto)</t>
        </is>
      </c>
      <c r="T4" s="13" t="inlineStr">
        <is>
          <t>Uwagi</t>
        </is>
      </c>
    </row>
    <row r="5">
      <c r="A5" s="7" t="n">
        <v>1</v>
      </c>
      <c r="B5" s="7" t="inlineStr">
        <is>
          <t>Rolkowa ostrzałka do noży z magnesem</t>
        </is>
      </c>
      <c r="C5" s="7" t="inlineStr">
        <is>
          <t>ostrzałka rolkowa; ostrzałka do noży magnetyczna</t>
        </is>
      </c>
      <c r="D5" s="7" t="inlineStr">
        <is>
          <t>rolling knife sharpener</t>
        </is>
      </c>
      <c r="E5" s="12" t="n"/>
      <c r="F5" s="12" t="n"/>
      <c r="G5" s="12" t="n"/>
      <c r="H5" s="14" t="n"/>
      <c r="I5" s="14" t="n"/>
      <c r="J5" s="14" t="n"/>
      <c r="K5" s="15" t="n"/>
      <c r="L5" s="15" t="n"/>
      <c r="M5" s="16" t="n"/>
      <c r="N5" s="17">
        <f>IF(K5="","",(Zalozenia!$B$3-K5)/30.4)</f>
        <v/>
      </c>
      <c r="O5" s="16" t="n"/>
      <c r="P5" s="16" t="n"/>
      <c r="Q5" s="16" t="n"/>
      <c r="R5" s="16" t="n"/>
      <c r="S5" s="7">
        <f>IF(J5="","",IF(AND(J5&gt;=10,N(N5)&gt;6),"wypalony?",IF(AND(J5&gt;0,N(L5)&gt;0,(Zalozenia!$B$3-L5)&lt;61),"świeże reklamy = trend?",IF(J5=0,"brak reklam — niszowy lub brak popytu","umiarkowany"))))</f>
        <v/>
      </c>
      <c r="T5" s="18" t="n"/>
    </row>
    <row r="6">
      <c r="A6" s="7" t="n">
        <v>2</v>
      </c>
      <c r="B6" s="7" t="inlineStr">
        <is>
          <t>Zestaw do wędzenia koktajli (bez prądu)</t>
        </is>
      </c>
      <c r="C6" s="7" t="inlineStr">
        <is>
          <t>wędzarka do koktajli; zestaw do wędzenia drinków</t>
        </is>
      </c>
      <c r="D6" s="7" t="inlineStr">
        <is>
          <t>cocktail smoker kit</t>
        </is>
      </c>
      <c r="E6" s="12" t="n"/>
      <c r="F6" s="12" t="n"/>
      <c r="G6" s="12" t="n"/>
      <c r="H6" s="14" t="n"/>
      <c r="I6" s="14" t="n"/>
      <c r="J6" s="14" t="n"/>
      <c r="K6" s="15" t="n"/>
      <c r="L6" s="15" t="n"/>
      <c r="M6" s="16" t="n"/>
      <c r="N6" s="17">
        <f>IF(K6="","",(Zalozenia!$B$3-K6)/30.4)</f>
        <v/>
      </c>
      <c r="O6" s="16" t="n"/>
      <c r="P6" s="16" t="n"/>
      <c r="Q6" s="16" t="n"/>
      <c r="R6" s="16" t="n"/>
      <c r="S6" s="7">
        <f>IF(J6="","",IF(AND(J6&gt;=10,N(N6)&gt;6),"wypalony?",IF(AND(J6&gt;0,N(L6)&gt;0,(Zalozenia!$B$3-L6)&lt;61),"świeże reklamy = trend?",IF(J6=0,"brak reklam — niszowy lub brak popytu","umiarkowany"))))</f>
        <v/>
      </c>
      <c r="T6" s="18" t="n"/>
    </row>
    <row r="7">
      <c r="A7" s="7" t="n">
        <v>3</v>
      </c>
      <c r="B7" s="7" t="inlineStr">
        <is>
          <t>Steel tongue drum 12–13"</t>
        </is>
      </c>
      <c r="C7" s="7" t="inlineStr">
        <is>
          <t>tongue drum; bęben językowy</t>
        </is>
      </c>
      <c r="D7" s="7" t="inlineStr">
        <is>
          <t>steel tongue drum</t>
        </is>
      </c>
      <c r="E7" s="12" t="n"/>
      <c r="F7" s="12" t="n"/>
      <c r="G7" s="12" t="n"/>
      <c r="H7" s="14" t="n"/>
      <c r="I7" s="14" t="n"/>
      <c r="J7" s="14" t="n"/>
      <c r="K7" s="15" t="n"/>
      <c r="L7" s="15" t="n"/>
      <c r="M7" s="16" t="n"/>
      <c r="N7" s="17">
        <f>IF(K7="","",(Zalozenia!$B$3-K7)/30.4)</f>
        <v/>
      </c>
      <c r="O7" s="16" t="n"/>
      <c r="P7" s="16" t="n"/>
      <c r="Q7" s="16" t="n"/>
      <c r="R7" s="16" t="n"/>
      <c r="S7" s="7">
        <f>IF(J7="","",IF(AND(J7&gt;=10,N(N7)&gt;6),"wypalony?",IF(AND(J7&gt;0,N(L7)&gt;0,(Zalozenia!$B$3-L7)&lt;61),"świeże reklamy = trend?",IF(J7=0,"brak reklam — niszowy lub brak popytu","umiarkowany"))))</f>
        <v/>
      </c>
      <c r="T7" s="18" t="n"/>
    </row>
    <row r="8">
      <c r="A8" s="7" t="n">
        <v>4</v>
      </c>
      <c r="B8" s="7" t="inlineStr">
        <is>
          <t>Plakat-zdrapka „100 randek”</t>
        </is>
      </c>
      <c r="C8" s="7" t="inlineStr">
        <is>
          <t>zdrapka 100 randek; plakat zdrapka dla par</t>
        </is>
      </c>
      <c r="D8" s="7" t="inlineStr">
        <is>
          <t>100 dates scratch off poster</t>
        </is>
      </c>
      <c r="E8" s="12" t="n"/>
      <c r="F8" s="12" t="n"/>
      <c r="G8" s="12" t="n"/>
      <c r="H8" s="14" t="n"/>
      <c r="I8" s="14" t="n"/>
      <c r="J8" s="14" t="n"/>
      <c r="K8" s="15" t="n"/>
      <c r="L8" s="15" t="n"/>
      <c r="M8" s="16" t="n"/>
      <c r="N8" s="17">
        <f>IF(K8="","",(Zalozenia!$B$3-K8)/30.4)</f>
        <v/>
      </c>
      <c r="O8" s="16" t="n"/>
      <c r="P8" s="16" t="n"/>
      <c r="Q8" s="16" t="n"/>
      <c r="R8" s="16" t="n"/>
      <c r="S8" s="7">
        <f>IF(J8="","",IF(AND(J8&gt;=10,N(N8)&gt;6),"wypalony?",IF(AND(J8&gt;0,N(L8)&gt;0,(Zalozenia!$B$3-L8)&lt;61),"świeże reklamy = trend?",IF(J8=0,"brak reklam — niszowy lub brak popytu","umiarkowany"))))</f>
        <v/>
      </c>
      <c r="T8" s="18" t="n"/>
    </row>
    <row r="9">
      <c r="A9" s="7" t="n">
        <v>5</v>
      </c>
      <c r="B9" s="7" t="inlineStr">
        <is>
          <t>Drewniany model mechaniczny 3D</t>
        </is>
      </c>
      <c r="C9" s="7" t="inlineStr">
        <is>
          <t>drewniane puzzle 3D mechaniczne; model mechaniczny drewniany</t>
        </is>
      </c>
      <c r="D9" s="7" t="inlineStr">
        <is>
          <t>wooden mechanical puzzle; 3D wooden model kit</t>
        </is>
      </c>
      <c r="E9" s="12" t="n"/>
      <c r="F9" s="12" t="n"/>
      <c r="G9" s="12" t="n"/>
      <c r="H9" s="14" t="n"/>
      <c r="I9" s="14" t="n"/>
      <c r="J9" s="14" t="n"/>
      <c r="K9" s="15" t="n"/>
      <c r="L9" s="15" t="n"/>
      <c r="M9" s="16" t="n"/>
      <c r="N9" s="17">
        <f>IF(K9="","",(Zalozenia!$B$3-K9)/30.4)</f>
        <v/>
      </c>
      <c r="O9" s="16" t="n"/>
      <c r="P9" s="16" t="n"/>
      <c r="Q9" s="16" t="n"/>
      <c r="R9" s="16" t="n"/>
      <c r="S9" s="7">
        <f>IF(J9="","",IF(AND(J9&gt;=10,N(N9)&gt;6),"wypalony?",IF(AND(J9&gt;0,N(L9)&gt;0,(Zalozenia!$B$3-L9)&lt;61),"świeże reklamy = trend?",IF(J9=0,"brak reklam — niszowy lub brak popytu","umiarkowany"))))</f>
        <v/>
      </c>
      <c r="T9" s="18" t="n"/>
    </row>
    <row r="10">
      <c r="A10" s="7" t="n">
        <v>6</v>
      </c>
      <c r="B10" s="7" t="inlineStr">
        <is>
          <t>Hamak ochronny dla psa do auta</t>
        </is>
      </c>
      <c r="C10" s="7" t="inlineStr">
        <is>
          <t>mata ochronna dla psa do auta; hamak dla psa samochód</t>
        </is>
      </c>
      <c r="D10" s="7" t="inlineStr">
        <is>
          <t>dog car seat hammock</t>
        </is>
      </c>
      <c r="E10" s="12" t="n"/>
      <c r="F10" s="12" t="n"/>
      <c r="G10" s="12" t="n"/>
      <c r="H10" s="14" t="n"/>
      <c r="I10" s="14" t="n"/>
      <c r="J10" s="14" t="n"/>
      <c r="K10" s="15" t="n"/>
      <c r="L10" s="15" t="n"/>
      <c r="M10" s="16" t="n"/>
      <c r="N10" s="17">
        <f>IF(K10="","",(Zalozenia!$B$3-K10)/30.4)</f>
        <v/>
      </c>
      <c r="O10" s="16" t="n"/>
      <c r="P10" s="16" t="n"/>
      <c r="Q10" s="16" t="n"/>
      <c r="R10" s="16" t="n"/>
      <c r="S10" s="7">
        <f>IF(J10="","",IF(AND(J10&gt;=10,N(N10)&gt;6),"wypalony?",IF(AND(J10&gt;0,N(L10)&gt;0,(Zalozenia!$B$3-L10)&lt;61),"świeże reklamy = trend?",IF(J10=0,"brak reklam — niszowy lub brak popytu","umiarkowany"))))</f>
        <v/>
      </c>
      <c r="T10" s="18" t="n"/>
    </row>
    <row r="11">
      <c r="A11" s="7" t="n">
        <v>7</v>
      </c>
      <c r="B11" s="7" t="inlineStr">
        <is>
          <t>Mata węchowa XXL dla psa</t>
        </is>
      </c>
      <c r="C11" s="7" t="inlineStr">
        <is>
          <t>mata węchowa dla psa; mata węchowa duża</t>
        </is>
      </c>
      <c r="D11" s="7" t="inlineStr">
        <is>
          <t>snuffle mat</t>
        </is>
      </c>
      <c r="E11" s="12" t="n"/>
      <c r="F11" s="12" t="n"/>
      <c r="G11" s="12" t="n"/>
      <c r="H11" s="14" t="n"/>
      <c r="I11" s="14" t="n"/>
      <c r="J11" s="14" t="n"/>
      <c r="K11" s="15" t="n"/>
      <c r="L11" s="15" t="n"/>
      <c r="M11" s="16" t="n"/>
      <c r="N11" s="17">
        <f>IF(K11="","",(Zalozenia!$B$3-K11)/30.4)</f>
        <v/>
      </c>
      <c r="O11" s="16" t="n"/>
      <c r="P11" s="16" t="n"/>
      <c r="Q11" s="16" t="n"/>
      <c r="R11" s="16" t="n"/>
      <c r="S11" s="7">
        <f>IF(J11="","",IF(AND(J11&gt;=10,N(N11)&gt;6),"wypalony?",IF(AND(J11&gt;0,N(L11)&gt;0,(Zalozenia!$B$3-L11)&lt;61),"świeże reklamy = trend?",IF(J11=0,"brak reklam — niszowy lub brak popytu","umiarkowany"))))</f>
        <v/>
      </c>
      <c r="T11" s="18" t="n"/>
    </row>
    <row r="12">
      <c r="A12" s="7" t="n">
        <v>8</v>
      </c>
      <c r="B12" s="7" t="inlineStr">
        <is>
          <t>Wałek stoper przeciągów, 2 szt.</t>
        </is>
      </c>
      <c r="C12" s="7" t="inlineStr">
        <is>
          <t>wałek przeciw przeciągom; uszczelka pod drzwi wałek</t>
        </is>
      </c>
      <c r="D12" s="7" t="inlineStr">
        <is>
          <t>draft stopper</t>
        </is>
      </c>
      <c r="E12" s="12" t="n"/>
      <c r="F12" s="12" t="n"/>
      <c r="G12" s="12" t="n"/>
      <c r="H12" s="14" t="n"/>
      <c r="I12" s="14" t="n"/>
      <c r="J12" s="14" t="n"/>
      <c r="K12" s="15" t="n"/>
      <c r="L12" s="15" t="n"/>
      <c r="M12" s="16" t="n"/>
      <c r="N12" s="17">
        <f>IF(K12="","",(Zalozenia!$B$3-K12)/30.4)</f>
        <v/>
      </c>
      <c r="O12" s="16" t="n"/>
      <c r="P12" s="16" t="n"/>
      <c r="Q12" s="16" t="n"/>
      <c r="R12" s="16" t="n"/>
      <c r="S12" s="7">
        <f>IF(J12="","",IF(AND(J12&gt;=10,N(N12)&gt;6),"wypalony?",IF(AND(J12&gt;0,N(L12)&gt;0,(Zalozenia!$B$3-L12)&lt;61),"świeże reklamy = trend?",IF(J12=0,"brak reklam — niszowy lub brak popytu","umiarkowany"))))</f>
        <v/>
      </c>
      <c r="T12" s="18" t="n"/>
    </row>
    <row r="13">
      <c r="A13" s="7" t="n">
        <v>9</v>
      </c>
      <c r="B13" s="7" t="inlineStr">
        <is>
          <t>Organizer XXL do bagażnika</t>
        </is>
      </c>
      <c r="C13" s="7" t="inlineStr">
        <is>
          <t>organizer do bagażnika; organizer bagażnik składany</t>
        </is>
      </c>
      <c r="D13" s="7" t="inlineStr">
        <is>
          <t>trunk organizer</t>
        </is>
      </c>
      <c r="E13" s="12" t="n"/>
      <c r="F13" s="12" t="n"/>
      <c r="G13" s="12" t="n"/>
      <c r="H13" s="14" t="n"/>
      <c r="I13" s="14" t="n"/>
      <c r="J13" s="14" t="n"/>
      <c r="K13" s="15" t="n"/>
      <c r="L13" s="15" t="n"/>
      <c r="M13" s="16" t="n"/>
      <c r="N13" s="17">
        <f>IF(K13="","",(Zalozenia!$B$3-K13)/30.4)</f>
        <v/>
      </c>
      <c r="O13" s="16" t="n"/>
      <c r="P13" s="16" t="n"/>
      <c r="Q13" s="16" t="n"/>
      <c r="R13" s="16" t="n"/>
      <c r="S13" s="7">
        <f>IF(J13="","",IF(AND(J13&gt;=10,N(N13)&gt;6),"wypalony?",IF(AND(J13&gt;0,N(L13)&gt;0,(Zalozenia!$B$3-L13)&lt;61),"świeże reklamy = trend?",IF(J13=0,"brak reklam — niszowy lub brak popytu","umiarkowany"))))</f>
        <v/>
      </c>
      <c r="T13" s="18" t="n"/>
    </row>
    <row r="14">
      <c r="A14" s="7" t="n">
        <v>10</v>
      </c>
      <c r="B14" s="7" t="inlineStr">
        <is>
          <t>Duży obraz z ruchomym piaskiem</t>
        </is>
      </c>
      <c r="C14" s="7" t="inlineStr">
        <is>
          <t>obraz z ruchomym piaskiem; piaskowy obraz 3D</t>
        </is>
      </c>
      <c r="D14" s="7" t="inlineStr">
        <is>
          <t>moving sand art</t>
        </is>
      </c>
      <c r="E14" s="12" t="n"/>
      <c r="F14" s="12" t="n"/>
      <c r="G14" s="12" t="n"/>
      <c r="H14" s="14" t="n"/>
      <c r="I14" s="14" t="n"/>
      <c r="J14" s="14" t="n"/>
      <c r="K14" s="15" t="n"/>
      <c r="L14" s="15" t="n"/>
      <c r="M14" s="16" t="n"/>
      <c r="N14" s="17">
        <f>IF(K14="","",(Zalozenia!$B$3-K14)/30.4)</f>
        <v/>
      </c>
      <c r="O14" s="16" t="n"/>
      <c r="P14" s="16" t="n"/>
      <c r="Q14" s="16" t="n"/>
      <c r="R14" s="16" t="n"/>
      <c r="S14" s="7">
        <f>IF(J14="","",IF(AND(J14&gt;=10,N(N14)&gt;6),"wypalony?",IF(AND(J14&gt;0,N(L14)&gt;0,(Zalozenia!$B$3-L14)&lt;61),"świeże reklamy = trend?",IF(J14=0,"brak reklam — niszowy lub brak popytu","umiarkowany"))))</f>
        <v/>
      </c>
      <c r="T14" s="18" t="n"/>
    </row>
    <row r="15">
      <c r="A15" s="7" t="n">
        <v>11</v>
      </c>
      <c r="B15" s="7" t="inlineStr">
        <is>
          <t>Kalimba 17 klawiszy</t>
        </is>
      </c>
      <c r="C15" s="7" t="inlineStr">
        <is>
          <t>kalimba 17; kalimba</t>
        </is>
      </c>
      <c r="D15" s="7" t="inlineStr">
        <is>
          <t>kalimba 17 keys</t>
        </is>
      </c>
      <c r="E15" s="12" t="n"/>
      <c r="F15" s="12" t="n"/>
      <c r="G15" s="12" t="n"/>
      <c r="H15" s="14" t="n"/>
      <c r="I15" s="14" t="n"/>
      <c r="J15" s="14" t="n"/>
      <c r="K15" s="15" t="n"/>
      <c r="L15" s="15" t="n"/>
      <c r="M15" s="16" t="n"/>
      <c r="N15" s="17">
        <f>IF(K15="","",(Zalozenia!$B$3-K15)/30.4)</f>
        <v/>
      </c>
      <c r="O15" s="16" t="n"/>
      <c r="P15" s="16" t="n"/>
      <c r="Q15" s="16" t="n"/>
      <c r="R15" s="16" t="n"/>
      <c r="S15" s="7">
        <f>IF(J15="","",IF(AND(J15&gt;=10,N(N15)&gt;6),"wypalony?",IF(AND(J15&gt;0,N(L15)&gt;0,(Zalozenia!$B$3-L15)&lt;61),"świeże reklamy = trend?",IF(J15=0,"brak reklam — niszowy lub brak popytu","umiarkowany"))))</f>
        <v/>
      </c>
      <c r="T15" s="18" t="n"/>
    </row>
    <row r="16">
      <c r="A16" s="7" t="n">
        <v>12</v>
      </c>
      <c r="B16" s="7" t="inlineStr">
        <is>
          <t>Zestaw do kiszenia (słoiki z zaworem)</t>
        </is>
      </c>
      <c r="C16" s="7" t="inlineStr">
        <is>
          <t>zestaw do kiszenia; pokrywka do fermentacji</t>
        </is>
      </c>
      <c r="D16" s="7" t="inlineStr">
        <is>
          <t>fermentation kit</t>
        </is>
      </c>
      <c r="E16" s="12" t="n"/>
      <c r="F16" s="12" t="n"/>
      <c r="G16" s="12" t="n"/>
      <c r="H16" s="14" t="n"/>
      <c r="I16" s="14" t="n"/>
      <c r="J16" s="14" t="n"/>
      <c r="K16" s="15" t="n"/>
      <c r="L16" s="15" t="n"/>
      <c r="M16" s="16" t="n"/>
      <c r="N16" s="17">
        <f>IF(K16="","",(Zalozenia!$B$3-K16)/30.4)</f>
        <v/>
      </c>
      <c r="O16" s="16" t="n"/>
      <c r="P16" s="16" t="n"/>
      <c r="Q16" s="16" t="n"/>
      <c r="R16" s="16" t="n"/>
      <c r="S16" s="7">
        <f>IF(J16="","",IF(AND(J16&gt;=10,N(N16)&gt;6),"wypalony?",IF(AND(J16&gt;0,N(L16)&gt;0,(Zalozenia!$B$3-L16)&lt;61),"świeże reklamy = trend?",IF(J16=0,"brak reklam — niszowy lub brak popytu","umiarkowany"))))</f>
        <v/>
      </c>
      <c r="T16" s="18" t="n"/>
    </row>
    <row r="17">
      <c r="A17" s="7" t="n">
        <v>13</v>
      </c>
      <c r="B17" s="19">
        <f>IF(Filtr_Wlasne!B17="","(własny pomysł)",Filtr_Wlasne!B17)</f>
        <v/>
      </c>
      <c r="C17" s="18" t="n"/>
      <c r="D17" s="18" t="n"/>
      <c r="E17" s="12" t="n"/>
      <c r="F17" s="12" t="n"/>
      <c r="G17" s="12" t="n"/>
      <c r="H17" s="14" t="n"/>
      <c r="I17" s="14" t="n"/>
      <c r="J17" s="14" t="n"/>
      <c r="K17" s="15" t="n"/>
      <c r="L17" s="15" t="n"/>
      <c r="M17" s="16" t="n"/>
      <c r="N17" s="17">
        <f>IF(K17="","",(Zalozenia!$B$3-K17)/30.4)</f>
        <v/>
      </c>
      <c r="O17" s="16" t="n"/>
      <c r="P17" s="16" t="n"/>
      <c r="Q17" s="16" t="n"/>
      <c r="R17" s="16" t="n"/>
      <c r="S17" s="7">
        <f>IF(J17="","",IF(AND(J17&gt;=10,N(N17)&gt;6),"wypalony?",IF(AND(J17&gt;0,N(L17)&gt;0,(Zalozenia!$B$3-L17)&lt;61),"świeże reklamy = trend?",IF(J17=0,"brak reklam — niszowy lub brak popytu","umiarkowany"))))</f>
        <v/>
      </c>
      <c r="T17" s="18" t="n"/>
    </row>
    <row r="18">
      <c r="A18" s="7" t="n">
        <v>14</v>
      </c>
      <c r="B18" s="19">
        <f>IF(Filtr_Wlasne!B18="","(własny pomysł)",Filtr_Wlasne!B18)</f>
        <v/>
      </c>
      <c r="C18" s="18" t="n"/>
      <c r="D18" s="18" t="n"/>
      <c r="E18" s="12" t="n"/>
      <c r="F18" s="12" t="n"/>
      <c r="G18" s="12" t="n"/>
      <c r="H18" s="14" t="n"/>
      <c r="I18" s="14" t="n"/>
      <c r="J18" s="14" t="n"/>
      <c r="K18" s="15" t="n"/>
      <c r="L18" s="15" t="n"/>
      <c r="M18" s="16" t="n"/>
      <c r="N18" s="17">
        <f>IF(K18="","",(Zalozenia!$B$3-K18)/30.4)</f>
        <v/>
      </c>
      <c r="O18" s="16" t="n"/>
      <c r="P18" s="16" t="n"/>
      <c r="Q18" s="16" t="n"/>
      <c r="R18" s="16" t="n"/>
      <c r="S18" s="7">
        <f>IF(J18="","",IF(AND(J18&gt;=10,N(N18)&gt;6),"wypalony?",IF(AND(J18&gt;0,N(L18)&gt;0,(Zalozenia!$B$3-L18)&lt;61),"świeże reklamy = trend?",IF(J18=0,"brak reklam — niszowy lub brak popytu","umiarkowany"))))</f>
        <v/>
      </c>
      <c r="T18" s="18" t="n"/>
    </row>
    <row r="19">
      <c r="A19" s="7" t="n">
        <v>15</v>
      </c>
      <c r="B19" s="19">
        <f>IF(Filtr_Wlasne!B19="","(własny pomysł)",Filtr_Wlasne!B19)</f>
        <v/>
      </c>
      <c r="C19" s="18" t="n"/>
      <c r="D19" s="18" t="n"/>
      <c r="E19" s="12" t="n"/>
      <c r="F19" s="12" t="n"/>
      <c r="G19" s="12" t="n"/>
      <c r="H19" s="14" t="n"/>
      <c r="I19" s="14" t="n"/>
      <c r="J19" s="14" t="n"/>
      <c r="K19" s="15" t="n"/>
      <c r="L19" s="15" t="n"/>
      <c r="M19" s="16" t="n"/>
      <c r="N19" s="17">
        <f>IF(K19="","",(Zalozenia!$B$3-K19)/30.4)</f>
        <v/>
      </c>
      <c r="O19" s="16" t="n"/>
      <c r="P19" s="16" t="n"/>
      <c r="Q19" s="16" t="n"/>
      <c r="R19" s="16" t="n"/>
      <c r="S19" s="7">
        <f>IF(J19="","",IF(AND(J19&gt;=10,N(N19)&gt;6),"wypalony?",IF(AND(J19&gt;0,N(L19)&gt;0,(Zalozenia!$B$3-L19)&lt;61),"świeże reklamy = trend?",IF(J19=0,"brak reklam — niszowy lub brak popytu","umiarkowany"))))</f>
        <v/>
      </c>
      <c r="T19" s="18" t="n"/>
    </row>
    <row r="20">
      <c r="A20" s="7" t="n">
        <v>16</v>
      </c>
      <c r="B20" s="19">
        <f>IF(Filtr_Wlasne!B20="","(własny pomysł)",Filtr_Wlasne!B20)</f>
        <v/>
      </c>
      <c r="C20" s="18" t="n"/>
      <c r="D20" s="18" t="n"/>
      <c r="E20" s="12" t="n"/>
      <c r="F20" s="12" t="n"/>
      <c r="G20" s="12" t="n"/>
      <c r="H20" s="14" t="n"/>
      <c r="I20" s="14" t="n"/>
      <c r="J20" s="14" t="n"/>
      <c r="K20" s="15" t="n"/>
      <c r="L20" s="15" t="n"/>
      <c r="M20" s="16" t="n"/>
      <c r="N20" s="17">
        <f>IF(K20="","",(Zalozenia!$B$3-K20)/30.4)</f>
        <v/>
      </c>
      <c r="O20" s="16" t="n"/>
      <c r="P20" s="16" t="n"/>
      <c r="Q20" s="16" t="n"/>
      <c r="R20" s="16" t="n"/>
      <c r="S20" s="7">
        <f>IF(J20="","",IF(AND(J20&gt;=10,N(N20)&gt;6),"wypalony?",IF(AND(J20&gt;0,N(L20)&gt;0,(Zalozenia!$B$3-L20)&lt;61),"świeże reklamy = trend?",IF(J20=0,"brak reklam — niszowy lub brak popytu","umiarkowany"))))</f>
        <v/>
      </c>
      <c r="T20" s="18" t="n"/>
    </row>
    <row r="21">
      <c r="A21" s="7" t="n">
        <v>17</v>
      </c>
      <c r="B21" s="19">
        <f>IF(Filtr_Wlasne!B21="","(własny pomysł)",Filtr_Wlasne!B21)</f>
        <v/>
      </c>
      <c r="C21" s="18" t="n"/>
      <c r="D21" s="18" t="n"/>
      <c r="E21" s="12" t="n"/>
      <c r="F21" s="12" t="n"/>
      <c r="G21" s="12" t="n"/>
      <c r="H21" s="14" t="n"/>
      <c r="I21" s="14" t="n"/>
      <c r="J21" s="14" t="n"/>
      <c r="K21" s="15" t="n"/>
      <c r="L21" s="15" t="n"/>
      <c r="M21" s="16" t="n"/>
      <c r="N21" s="17">
        <f>IF(K21="","",(Zalozenia!$B$3-K21)/30.4)</f>
        <v/>
      </c>
      <c r="O21" s="16" t="n"/>
      <c r="P21" s="16" t="n"/>
      <c r="Q21" s="16" t="n"/>
      <c r="R21" s="16" t="n"/>
      <c r="S21" s="7">
        <f>IF(J21="","",IF(AND(J21&gt;=10,N(N21)&gt;6),"wypalony?",IF(AND(J21&gt;0,N(L21)&gt;0,(Zalozenia!$B$3-L21)&lt;61),"świeże reklamy = trend?",IF(J21=0,"brak reklam — niszowy lub brak popytu","umiarkowany"))))</f>
        <v/>
      </c>
      <c r="T21" s="18" t="n"/>
    </row>
  </sheetData>
  <dataValidations count="2">
    <dataValidation sqref="M5 M6 M7 M8 M9 M10 M11 M12 M13 M14 M15 M16 M17 M18 M19 M20 M21 O5 O6 O7 O8 O9 O10 O11 O12 O13 O14 O15 O16 O17 O18 O19 O20 O21" showDropDown="0" showInputMessage="0" showErrorMessage="0" allowBlank="1" type="list">
      <formula1>"T,N"</formula1>
    </dataValidation>
    <dataValidation sqref="Q5 Q6 Q7 Q8 Q9 Q10 Q11 Q12 Q13 Q14 Q15 Q16 Q17 Q18 Q19 Q20 Q21" showDropDown="0" showInputMessage="0" showErrorMessage="0" allowBlank="1" type="list">
      <formula1>"↑,→,↓,brak danych"</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X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2" customWidth="1" min="3" max="3"/>
    <col width="12" customWidth="1" min="4" max="4"/>
    <col width="11" customWidth="1" min="5" max="5"/>
    <col width="12" customWidth="1" min="6" max="6"/>
    <col width="12" customWidth="1" min="7" max="7"/>
    <col width="11" customWidth="1" min="8" max="8"/>
    <col width="11" customWidth="1" min="9" max="9"/>
    <col width="11" customWidth="1" min="10" max="10"/>
    <col width="12" customWidth="1" min="11" max="11"/>
    <col width="14" customWidth="1" min="12" max="12"/>
    <col width="9" customWidth="1" min="13" max="13"/>
    <col width="9" customWidth="1" min="14" max="14"/>
    <col width="12" customWidth="1" min="15" max="15"/>
    <col width="11" customWidth="1" min="16" max="16"/>
    <col width="11" customWidth="1" min="17" max="17"/>
    <col width="11" customWidth="1" min="18" max="18"/>
    <col width="11" customWidth="1" min="19" max="19"/>
    <col width="11" customWidth="1" min="20" max="20"/>
    <col width="13" customWidth="1" min="21" max="21"/>
    <col width="13" customWidth="1" min="22" max="22"/>
    <col width="12" customWidth="1" min="23" max="23"/>
    <col width="30" customWidth="1" min="24" max="24"/>
  </cols>
  <sheetData>
    <row r="1">
      <c r="A1" s="1" t="inlineStr">
        <is>
          <t>Dzień 2 — dostawca i ekonomika (M, maks. CPA)</t>
        </is>
      </c>
    </row>
    <row r="2">
      <c r="A2" s="3" t="inlineStr">
        <is>
          <t>Cena sprzedaży: jeśli wpiszesz własną (kol. D) — liczy się ona; inaczej mediana z D1; inaczej cena przyjęta przez agenta. Koszty agenta = szacunek.</t>
        </is>
      </c>
    </row>
    <row r="4" ht="45" customHeight="1">
      <c r="A4" s="13" t="inlineStr">
        <is>
          <t>#</t>
        </is>
      </c>
      <c r="B4" s="13" t="inlineStr">
        <is>
          <t>Kandydat</t>
        </is>
      </c>
      <c r="C4" s="13" t="inlineStr">
        <is>
          <t>Cena przyjęta przez agenta (szac.)</t>
        </is>
      </c>
      <c r="D4" s="13" t="inlineStr">
        <is>
          <t>Moja cena sprzedaży</t>
        </is>
      </c>
      <c r="E4" s="13" t="inlineStr">
        <is>
          <t>Cena użyta</t>
        </is>
      </c>
      <c r="F4" s="13" t="inlineStr">
        <is>
          <t>Źródło ceny</t>
        </is>
      </c>
      <c r="G4" s="13" t="inlineStr">
        <is>
          <t>Towar + dostawa agent (szac.)</t>
        </is>
      </c>
      <c r="H4" s="13" t="inlineStr">
        <is>
          <t>Towar (realnie)</t>
        </is>
      </c>
      <c r="I4" s="13" t="inlineStr">
        <is>
          <t>Dostawa do PL (realnie)</t>
        </is>
      </c>
      <c r="J4" s="13" t="inlineStr">
        <is>
          <t>Koszt użyty</t>
        </is>
      </c>
      <c r="K4" s="13" t="inlineStr">
        <is>
          <t>Źródło kosztu</t>
        </is>
      </c>
      <c r="L4" s="13" t="inlineStr">
        <is>
          <t>Dostawca (CJ/AE/inny)</t>
        </is>
      </c>
      <c r="M4" s="13" t="inlineStr">
        <is>
          <t>Magazyn UE T/N</t>
        </is>
      </c>
      <c r="N4" s="13" t="inlineStr">
        <is>
          <t>Czas dostawy (dni)</t>
        </is>
      </c>
      <c r="O4" s="13" t="inlineStr">
        <is>
          <t>CE/EN71/GPSR potwierdzone T/N</t>
        </is>
      </c>
      <c r="P4" s="13" t="inlineStr">
        <is>
          <t>Prowizja płatności</t>
        </is>
      </c>
      <c r="Q4" s="13" t="inlineStr">
        <is>
          <t>Rezerwa zwrotów</t>
        </is>
      </c>
      <c r="R4" s="13" t="inlineStr">
        <is>
          <t>M (zł)</t>
        </is>
      </c>
      <c r="S4" s="13" t="inlineStr">
        <is>
          <t>Udział towar+dostawa</t>
        </is>
      </c>
      <c r="T4" s="13" t="inlineStr">
        <is>
          <t>Maks. CPA (= M)</t>
        </is>
      </c>
      <c r="U4" s="13" t="inlineStr">
        <is>
          <t>Zamówień na break-even przy 500 zł (z VAT)</t>
        </is>
      </c>
      <c r="V4" s="13" t="inlineStr">
        <is>
          <t>Zamówień na break-even przy 1500 zł (z VAT)</t>
        </is>
      </c>
      <c r="W4" s="13" t="inlineStr">
        <is>
          <t>Zamówień / kwartał do limitu dz. nierej.</t>
        </is>
      </c>
      <c r="X4" s="13" t="inlineStr">
        <is>
          <t>Wynik dnia 2 (auto)</t>
        </is>
      </c>
    </row>
    <row r="5">
      <c r="A5" s="7" t="n">
        <v>1</v>
      </c>
      <c r="B5" s="19">
        <f>D1_Rynek!B5</f>
        <v/>
      </c>
      <c r="C5" s="9" t="n">
        <v>139.99</v>
      </c>
      <c r="D5" s="12" t="n"/>
      <c r="E5" s="20">
        <f>IF(D5&lt;&gt;"",D5,IF(D1_Rynek!F5&lt;&gt;"",D1_Rynek!F5,IF(C5&lt;&gt;"",C5,"")))</f>
        <v/>
      </c>
      <c r="F5" s="7">
        <f>IF(D5&lt;&gt;"","moja",IF(D1_Rynek!F5&lt;&gt;"","mediana Allegro",IF(C5&lt;&gt;"","agent (szac.)","")))</f>
        <v/>
      </c>
      <c r="G5" s="9" t="n">
        <v>40</v>
      </c>
      <c r="H5" s="12" t="n"/>
      <c r="I5" s="12" t="n"/>
      <c r="J5" s="20">
        <f>IF(AND(H5&lt;&gt;"",I5&lt;&gt;""),H5+I5,IF(G5&lt;&gt;"",G5,""))</f>
        <v/>
      </c>
      <c r="K5" s="7">
        <f>IF(AND(H5&lt;&gt;"",I5&lt;&gt;""),"realny",IF(G5&lt;&gt;"","agent (szac.)",""))</f>
        <v/>
      </c>
      <c r="L5" s="16" t="n"/>
      <c r="M5" s="16" t="n"/>
      <c r="N5" s="21" t="n"/>
      <c r="O5" s="16" t="n"/>
      <c r="P5" s="20">
        <f>IF(E5="","",E5*Zalozenia!$B$5+Zalozenia!$B$6)</f>
        <v/>
      </c>
      <c r="Q5" s="20">
        <f>IF(E5="","",E5*Zalozenia!$B$7)</f>
        <v/>
      </c>
      <c r="R5" s="22">
        <f>IF(OR(E5="",J5=""),"",E5-J5-P5-Q5)</f>
        <v/>
      </c>
      <c r="S5" s="23">
        <f>IF(OR(E5="",J5=""),"",J5/E5)</f>
        <v/>
      </c>
      <c r="T5" s="22">
        <f>R5</f>
        <v/>
      </c>
      <c r="U5" s="17">
        <f>IF(N(R5)&lt;=0,"",Zalozenia!$B$11*Zalozenia!$B$8/R5)</f>
        <v/>
      </c>
      <c r="V5" s="17">
        <f>IF(N(R5)&lt;=0,"",Zalozenia!$B$12*Zalozenia!$B$8/R5)</f>
        <v/>
      </c>
      <c r="W5" s="24">
        <f>IF(N(E5)&lt;=0,"",INT(Zalozenia!$B$14/E5))</f>
        <v/>
      </c>
      <c r="X5" s="7">
        <f>IF(R5="","",IF(R5&lt;Zalozenia!$B$10,"ODRZUĆ: M &lt; min",IF(S5&gt;Zalozenia!$B$9,"ODRZUĆ: udział &gt; próg",IF(K5="agent (szac.)","OK wstępnie — koszt to szacunek","OK"))))</f>
        <v/>
      </c>
    </row>
    <row r="6">
      <c r="A6" s="7" t="n">
        <v>2</v>
      </c>
      <c r="B6" s="19">
        <f>D1_Rynek!B6</f>
        <v/>
      </c>
      <c r="C6" s="9" t="n">
        <v>119</v>
      </c>
      <c r="D6" s="12" t="n"/>
      <c r="E6" s="20">
        <f>IF(D6&lt;&gt;"",D6,IF(D1_Rynek!F6&lt;&gt;"",D1_Rynek!F6,IF(C6&lt;&gt;"",C6,"")))</f>
        <v/>
      </c>
      <c r="F6" s="7">
        <f>IF(D6&lt;&gt;"","moja",IF(D1_Rynek!F6&lt;&gt;"","mediana Allegro",IF(C6&lt;&gt;"","agent (szac.)","")))</f>
        <v/>
      </c>
      <c r="G6" s="9" t="n">
        <v>35</v>
      </c>
      <c r="H6" s="12" t="n"/>
      <c r="I6" s="12" t="n"/>
      <c r="J6" s="20">
        <f>IF(AND(H6&lt;&gt;"",I6&lt;&gt;""),H6+I6,IF(G6&lt;&gt;"",G6,""))</f>
        <v/>
      </c>
      <c r="K6" s="7">
        <f>IF(AND(H6&lt;&gt;"",I6&lt;&gt;""),"realny",IF(G6&lt;&gt;"","agent (szac.)",""))</f>
        <v/>
      </c>
      <c r="L6" s="16" t="n"/>
      <c r="M6" s="16" t="n"/>
      <c r="N6" s="21" t="n"/>
      <c r="O6" s="16" t="n"/>
      <c r="P6" s="20">
        <f>IF(E6="","",E6*Zalozenia!$B$5+Zalozenia!$B$6)</f>
        <v/>
      </c>
      <c r="Q6" s="20">
        <f>IF(E6="","",E6*Zalozenia!$B$7)</f>
        <v/>
      </c>
      <c r="R6" s="22">
        <f>IF(OR(E6="",J6=""),"",E6-J6-P6-Q6)</f>
        <v/>
      </c>
      <c r="S6" s="23">
        <f>IF(OR(E6="",J6=""),"",J6/E6)</f>
        <v/>
      </c>
      <c r="T6" s="22">
        <f>R6</f>
        <v/>
      </c>
      <c r="U6" s="17">
        <f>IF(N(R6)&lt;=0,"",Zalozenia!$B$11*Zalozenia!$B$8/R6)</f>
        <v/>
      </c>
      <c r="V6" s="17">
        <f>IF(N(R6)&lt;=0,"",Zalozenia!$B$12*Zalozenia!$B$8/R6)</f>
        <v/>
      </c>
      <c r="W6" s="24">
        <f>IF(N(E6)&lt;=0,"",INT(Zalozenia!$B$14/E6))</f>
        <v/>
      </c>
      <c r="X6" s="7">
        <f>IF(R6="","",IF(R6&lt;Zalozenia!$B$10,"ODRZUĆ: M &lt; min",IF(S6&gt;Zalozenia!$B$9,"ODRZUĆ: udział &gt; próg",IF(K6="agent (szac.)","OK wstępnie — koszt to szacunek","OK"))))</f>
        <v/>
      </c>
    </row>
    <row r="7">
      <c r="A7" s="7" t="n">
        <v>3</v>
      </c>
      <c r="B7" s="19">
        <f>D1_Rynek!B7</f>
        <v/>
      </c>
      <c r="C7" s="9" t="n">
        <v>159</v>
      </c>
      <c r="D7" s="12" t="n"/>
      <c r="E7" s="20">
        <f>IF(D7&lt;&gt;"",D7,IF(D1_Rynek!F7&lt;&gt;"",D1_Rynek!F7,IF(C7&lt;&gt;"",C7,"")))</f>
        <v/>
      </c>
      <c r="F7" s="7">
        <f>IF(D7&lt;&gt;"","moja",IF(D1_Rynek!F7&lt;&gt;"","mediana Allegro",IF(C7&lt;&gt;"","agent (szac.)","")))</f>
        <v/>
      </c>
      <c r="G7" s="9" t="n">
        <v>60</v>
      </c>
      <c r="H7" s="12" t="n"/>
      <c r="I7" s="12" t="n"/>
      <c r="J7" s="20">
        <f>IF(AND(H7&lt;&gt;"",I7&lt;&gt;""),H7+I7,IF(G7&lt;&gt;"",G7,""))</f>
        <v/>
      </c>
      <c r="K7" s="7">
        <f>IF(AND(H7&lt;&gt;"",I7&lt;&gt;""),"realny",IF(G7&lt;&gt;"","agent (szac.)",""))</f>
        <v/>
      </c>
      <c r="L7" s="16" t="n"/>
      <c r="M7" s="16" t="n"/>
      <c r="N7" s="21" t="n"/>
      <c r="O7" s="16" t="n"/>
      <c r="P7" s="20">
        <f>IF(E7="","",E7*Zalozenia!$B$5+Zalozenia!$B$6)</f>
        <v/>
      </c>
      <c r="Q7" s="20">
        <f>IF(E7="","",E7*Zalozenia!$B$7)</f>
        <v/>
      </c>
      <c r="R7" s="22">
        <f>IF(OR(E7="",J7=""),"",E7-J7-P7-Q7)</f>
        <v/>
      </c>
      <c r="S7" s="23">
        <f>IF(OR(E7="",J7=""),"",J7/E7)</f>
        <v/>
      </c>
      <c r="T7" s="22">
        <f>R7</f>
        <v/>
      </c>
      <c r="U7" s="17">
        <f>IF(N(R7)&lt;=0,"",Zalozenia!$B$11*Zalozenia!$B$8/R7)</f>
        <v/>
      </c>
      <c r="V7" s="17">
        <f>IF(N(R7)&lt;=0,"",Zalozenia!$B$12*Zalozenia!$B$8/R7)</f>
        <v/>
      </c>
      <c r="W7" s="24">
        <f>IF(N(E7)&lt;=0,"",INT(Zalozenia!$B$14/E7))</f>
        <v/>
      </c>
      <c r="X7" s="7">
        <f>IF(R7="","",IF(R7&lt;Zalozenia!$B$10,"ODRZUĆ: M &lt; min",IF(S7&gt;Zalozenia!$B$9,"ODRZUĆ: udział &gt; próg",IF(K7="agent (szac.)","OK wstępnie — koszt to szacunek","OK"))))</f>
        <v/>
      </c>
    </row>
    <row r="8">
      <c r="A8" s="7" t="n">
        <v>4</v>
      </c>
      <c r="B8" s="19">
        <f>D1_Rynek!B8</f>
        <v/>
      </c>
      <c r="C8" s="9" t="n">
        <v>99</v>
      </c>
      <c r="D8" s="12" t="n"/>
      <c r="E8" s="20">
        <f>IF(D8&lt;&gt;"",D8,IF(D1_Rynek!F8&lt;&gt;"",D1_Rynek!F8,IF(C8&lt;&gt;"",C8,"")))</f>
        <v/>
      </c>
      <c r="F8" s="7">
        <f>IF(D8&lt;&gt;"","moja",IF(D1_Rynek!F8&lt;&gt;"","mediana Allegro",IF(C8&lt;&gt;"","agent (szac.)","")))</f>
        <v/>
      </c>
      <c r="G8" s="9" t="n">
        <v>22</v>
      </c>
      <c r="H8" s="12" t="n"/>
      <c r="I8" s="12" t="n"/>
      <c r="J8" s="20">
        <f>IF(AND(H8&lt;&gt;"",I8&lt;&gt;""),H8+I8,IF(G8&lt;&gt;"",G8,""))</f>
        <v/>
      </c>
      <c r="K8" s="7">
        <f>IF(AND(H8&lt;&gt;"",I8&lt;&gt;""),"realny",IF(G8&lt;&gt;"","agent (szac.)",""))</f>
        <v/>
      </c>
      <c r="L8" s="16" t="n"/>
      <c r="M8" s="16" t="n"/>
      <c r="N8" s="21" t="n"/>
      <c r="O8" s="16" t="n"/>
      <c r="P8" s="20">
        <f>IF(E8="","",E8*Zalozenia!$B$5+Zalozenia!$B$6)</f>
        <v/>
      </c>
      <c r="Q8" s="20">
        <f>IF(E8="","",E8*Zalozenia!$B$7)</f>
        <v/>
      </c>
      <c r="R8" s="22">
        <f>IF(OR(E8="",J8=""),"",E8-J8-P8-Q8)</f>
        <v/>
      </c>
      <c r="S8" s="23">
        <f>IF(OR(E8="",J8=""),"",J8/E8)</f>
        <v/>
      </c>
      <c r="T8" s="22">
        <f>R8</f>
        <v/>
      </c>
      <c r="U8" s="17">
        <f>IF(N(R8)&lt;=0,"",Zalozenia!$B$11*Zalozenia!$B$8/R8)</f>
        <v/>
      </c>
      <c r="V8" s="17">
        <f>IF(N(R8)&lt;=0,"",Zalozenia!$B$12*Zalozenia!$B$8/R8)</f>
        <v/>
      </c>
      <c r="W8" s="24">
        <f>IF(N(E8)&lt;=0,"",INT(Zalozenia!$B$14/E8))</f>
        <v/>
      </c>
      <c r="X8" s="7">
        <f>IF(R8="","",IF(R8&lt;Zalozenia!$B$10,"ODRZUĆ: M &lt; min",IF(S8&gt;Zalozenia!$B$9,"ODRZUĆ: udział &gt; próg",IF(K8="agent (szac.)","OK wstępnie — koszt to szacunek","OK"))))</f>
        <v/>
      </c>
    </row>
    <row r="9">
      <c r="A9" s="7" t="n">
        <v>5</v>
      </c>
      <c r="B9" s="19">
        <f>D1_Rynek!B9</f>
        <v/>
      </c>
      <c r="C9" s="9" t="n">
        <v>149</v>
      </c>
      <c r="D9" s="12" t="n"/>
      <c r="E9" s="20">
        <f>IF(D9&lt;&gt;"",D9,IF(D1_Rynek!F9&lt;&gt;"",D1_Rynek!F9,IF(C9&lt;&gt;"",C9,"")))</f>
        <v/>
      </c>
      <c r="F9" s="7">
        <f>IF(D9&lt;&gt;"","moja",IF(D1_Rynek!F9&lt;&gt;"","mediana Allegro",IF(C9&lt;&gt;"","agent (szac.)","")))</f>
        <v/>
      </c>
      <c r="G9" s="9" t="n">
        <v>50</v>
      </c>
      <c r="H9" s="12" t="n"/>
      <c r="I9" s="12" t="n"/>
      <c r="J9" s="20">
        <f>IF(AND(H9&lt;&gt;"",I9&lt;&gt;""),H9+I9,IF(G9&lt;&gt;"",G9,""))</f>
        <v/>
      </c>
      <c r="K9" s="7">
        <f>IF(AND(H9&lt;&gt;"",I9&lt;&gt;""),"realny",IF(G9&lt;&gt;"","agent (szac.)",""))</f>
        <v/>
      </c>
      <c r="L9" s="16" t="n"/>
      <c r="M9" s="16" t="n"/>
      <c r="N9" s="21" t="n"/>
      <c r="O9" s="16" t="n"/>
      <c r="P9" s="20">
        <f>IF(E9="","",E9*Zalozenia!$B$5+Zalozenia!$B$6)</f>
        <v/>
      </c>
      <c r="Q9" s="20">
        <f>IF(E9="","",E9*Zalozenia!$B$7)</f>
        <v/>
      </c>
      <c r="R9" s="22">
        <f>IF(OR(E9="",J9=""),"",E9-J9-P9-Q9)</f>
        <v/>
      </c>
      <c r="S9" s="23">
        <f>IF(OR(E9="",J9=""),"",J9/E9)</f>
        <v/>
      </c>
      <c r="T9" s="22">
        <f>R9</f>
        <v/>
      </c>
      <c r="U9" s="17">
        <f>IF(N(R9)&lt;=0,"",Zalozenia!$B$11*Zalozenia!$B$8/R9)</f>
        <v/>
      </c>
      <c r="V9" s="17">
        <f>IF(N(R9)&lt;=0,"",Zalozenia!$B$12*Zalozenia!$B$8/R9)</f>
        <v/>
      </c>
      <c r="W9" s="24">
        <f>IF(N(E9)&lt;=0,"",INT(Zalozenia!$B$14/E9))</f>
        <v/>
      </c>
      <c r="X9" s="7">
        <f>IF(R9="","",IF(R9&lt;Zalozenia!$B$10,"ODRZUĆ: M &lt; min",IF(S9&gt;Zalozenia!$B$9,"ODRZUĆ: udział &gt; próg",IF(K9="agent (szac.)","OK wstępnie — koszt to szacunek","OK"))))</f>
        <v/>
      </c>
    </row>
    <row r="10">
      <c r="A10" s="7" t="n">
        <v>6</v>
      </c>
      <c r="B10" s="19">
        <f>D1_Rynek!B10</f>
        <v/>
      </c>
      <c r="C10" s="9" t="n">
        <v>129</v>
      </c>
      <c r="D10" s="12" t="n"/>
      <c r="E10" s="20">
        <f>IF(D10&lt;&gt;"",D10,IF(D1_Rynek!F10&lt;&gt;"",D1_Rynek!F10,IF(C10&lt;&gt;"",C10,"")))</f>
        <v/>
      </c>
      <c r="F10" s="7">
        <f>IF(D10&lt;&gt;"","moja",IF(D1_Rynek!F10&lt;&gt;"","mediana Allegro",IF(C10&lt;&gt;"","agent (szac.)","")))</f>
        <v/>
      </c>
      <c r="G10" s="9" t="n">
        <v>45</v>
      </c>
      <c r="H10" s="12" t="n"/>
      <c r="I10" s="12" t="n"/>
      <c r="J10" s="20">
        <f>IF(AND(H10&lt;&gt;"",I10&lt;&gt;""),H10+I10,IF(G10&lt;&gt;"",G10,""))</f>
        <v/>
      </c>
      <c r="K10" s="7">
        <f>IF(AND(H10&lt;&gt;"",I10&lt;&gt;""),"realny",IF(G10&lt;&gt;"","agent (szac.)",""))</f>
        <v/>
      </c>
      <c r="L10" s="16" t="n"/>
      <c r="M10" s="16" t="n"/>
      <c r="N10" s="21" t="n"/>
      <c r="O10" s="16" t="n"/>
      <c r="P10" s="20">
        <f>IF(E10="","",E10*Zalozenia!$B$5+Zalozenia!$B$6)</f>
        <v/>
      </c>
      <c r="Q10" s="20">
        <f>IF(E10="","",E10*Zalozenia!$B$7)</f>
        <v/>
      </c>
      <c r="R10" s="22">
        <f>IF(OR(E10="",J10=""),"",E10-J10-P10-Q10)</f>
        <v/>
      </c>
      <c r="S10" s="23">
        <f>IF(OR(E10="",J10=""),"",J10/E10)</f>
        <v/>
      </c>
      <c r="T10" s="22">
        <f>R10</f>
        <v/>
      </c>
      <c r="U10" s="17">
        <f>IF(N(R10)&lt;=0,"",Zalozenia!$B$11*Zalozenia!$B$8/R10)</f>
        <v/>
      </c>
      <c r="V10" s="17">
        <f>IF(N(R10)&lt;=0,"",Zalozenia!$B$12*Zalozenia!$B$8/R10)</f>
        <v/>
      </c>
      <c r="W10" s="24">
        <f>IF(N(E10)&lt;=0,"",INT(Zalozenia!$B$14/E10))</f>
        <v/>
      </c>
      <c r="X10" s="7">
        <f>IF(R10="","",IF(R10&lt;Zalozenia!$B$10,"ODRZUĆ: M &lt; min",IF(S10&gt;Zalozenia!$B$9,"ODRZUĆ: udział &gt; próg",IF(K10="agent (szac.)","OK wstępnie — koszt to szacunek","OK"))))</f>
        <v/>
      </c>
    </row>
    <row r="11">
      <c r="A11" s="7" t="n">
        <v>7</v>
      </c>
      <c r="B11" s="19">
        <f>D1_Rynek!B11</f>
        <v/>
      </c>
      <c r="C11" s="9" t="n">
        <v>89</v>
      </c>
      <c r="D11" s="12" t="n"/>
      <c r="E11" s="20">
        <f>IF(D11&lt;&gt;"",D11,IF(D1_Rynek!F11&lt;&gt;"",D1_Rynek!F11,IF(C11&lt;&gt;"",C11,"")))</f>
        <v/>
      </c>
      <c r="F11" s="7">
        <f>IF(D11&lt;&gt;"","moja",IF(D1_Rynek!F11&lt;&gt;"","mediana Allegro",IF(C11&lt;&gt;"","agent (szac.)","")))</f>
        <v/>
      </c>
      <c r="G11" s="9" t="n">
        <v>25</v>
      </c>
      <c r="H11" s="12" t="n"/>
      <c r="I11" s="12" t="n"/>
      <c r="J11" s="20">
        <f>IF(AND(H11&lt;&gt;"",I11&lt;&gt;""),H11+I11,IF(G11&lt;&gt;"",G11,""))</f>
        <v/>
      </c>
      <c r="K11" s="7">
        <f>IF(AND(H11&lt;&gt;"",I11&lt;&gt;""),"realny",IF(G11&lt;&gt;"","agent (szac.)",""))</f>
        <v/>
      </c>
      <c r="L11" s="16" t="n"/>
      <c r="M11" s="16" t="n"/>
      <c r="N11" s="21" t="n"/>
      <c r="O11" s="16" t="n"/>
      <c r="P11" s="20">
        <f>IF(E11="","",E11*Zalozenia!$B$5+Zalozenia!$B$6)</f>
        <v/>
      </c>
      <c r="Q11" s="20">
        <f>IF(E11="","",E11*Zalozenia!$B$7)</f>
        <v/>
      </c>
      <c r="R11" s="22">
        <f>IF(OR(E11="",J11=""),"",E11-J11-P11-Q11)</f>
        <v/>
      </c>
      <c r="S11" s="23">
        <f>IF(OR(E11="",J11=""),"",J11/E11)</f>
        <v/>
      </c>
      <c r="T11" s="22">
        <f>R11</f>
        <v/>
      </c>
      <c r="U11" s="17">
        <f>IF(N(R11)&lt;=0,"",Zalozenia!$B$11*Zalozenia!$B$8/R11)</f>
        <v/>
      </c>
      <c r="V11" s="17">
        <f>IF(N(R11)&lt;=0,"",Zalozenia!$B$12*Zalozenia!$B$8/R11)</f>
        <v/>
      </c>
      <c r="W11" s="24">
        <f>IF(N(E11)&lt;=0,"",INT(Zalozenia!$B$14/E11))</f>
        <v/>
      </c>
      <c r="X11" s="7">
        <f>IF(R11="","",IF(R11&lt;Zalozenia!$B$10,"ODRZUĆ: M &lt; min",IF(S11&gt;Zalozenia!$B$9,"ODRZUĆ: udział &gt; próg",IF(K11="agent (szac.)","OK wstępnie — koszt to szacunek","OK"))))</f>
        <v/>
      </c>
    </row>
    <row r="12">
      <c r="A12" s="7" t="n">
        <v>8</v>
      </c>
      <c r="B12" s="19">
        <f>D1_Rynek!B12</f>
        <v/>
      </c>
      <c r="C12" s="9" t="n">
        <v>69</v>
      </c>
      <c r="D12" s="12" t="n"/>
      <c r="E12" s="20">
        <f>IF(D12&lt;&gt;"",D12,IF(D1_Rynek!F12&lt;&gt;"",D1_Rynek!F12,IF(C12&lt;&gt;"",C12,"")))</f>
        <v/>
      </c>
      <c r="F12" s="7">
        <f>IF(D12&lt;&gt;"","moja",IF(D1_Rynek!F12&lt;&gt;"","mediana Allegro",IF(C12&lt;&gt;"","agent (szac.)","")))</f>
        <v/>
      </c>
      <c r="G12" s="9" t="n">
        <v>20</v>
      </c>
      <c r="H12" s="12" t="n"/>
      <c r="I12" s="12" t="n"/>
      <c r="J12" s="20">
        <f>IF(AND(H12&lt;&gt;"",I12&lt;&gt;""),H12+I12,IF(G12&lt;&gt;"",G12,""))</f>
        <v/>
      </c>
      <c r="K12" s="7">
        <f>IF(AND(H12&lt;&gt;"",I12&lt;&gt;""),"realny",IF(G12&lt;&gt;"","agent (szac.)",""))</f>
        <v/>
      </c>
      <c r="L12" s="16" t="n"/>
      <c r="M12" s="16" t="n"/>
      <c r="N12" s="21" t="n"/>
      <c r="O12" s="16" t="n"/>
      <c r="P12" s="20">
        <f>IF(E12="","",E12*Zalozenia!$B$5+Zalozenia!$B$6)</f>
        <v/>
      </c>
      <c r="Q12" s="20">
        <f>IF(E12="","",E12*Zalozenia!$B$7)</f>
        <v/>
      </c>
      <c r="R12" s="22">
        <f>IF(OR(E12="",J12=""),"",E12-J12-P12-Q12)</f>
        <v/>
      </c>
      <c r="S12" s="23">
        <f>IF(OR(E12="",J12=""),"",J12/E12)</f>
        <v/>
      </c>
      <c r="T12" s="22">
        <f>R12</f>
        <v/>
      </c>
      <c r="U12" s="17">
        <f>IF(N(R12)&lt;=0,"",Zalozenia!$B$11*Zalozenia!$B$8/R12)</f>
        <v/>
      </c>
      <c r="V12" s="17">
        <f>IF(N(R12)&lt;=0,"",Zalozenia!$B$12*Zalozenia!$B$8/R12)</f>
        <v/>
      </c>
      <c r="W12" s="24">
        <f>IF(N(E12)&lt;=0,"",INT(Zalozenia!$B$14/E12))</f>
        <v/>
      </c>
      <c r="X12" s="7">
        <f>IF(R12="","",IF(R12&lt;Zalozenia!$B$10,"ODRZUĆ: M &lt; min",IF(S12&gt;Zalozenia!$B$9,"ODRZUĆ: udział &gt; próg",IF(K12="agent (szac.)","OK wstępnie — koszt to szacunek","OK"))))</f>
        <v/>
      </c>
    </row>
    <row r="13">
      <c r="A13" s="7" t="n">
        <v>9</v>
      </c>
      <c r="B13" s="19">
        <f>D1_Rynek!B13</f>
        <v/>
      </c>
      <c r="C13" s="9" t="n">
        <v>119</v>
      </c>
      <c r="D13" s="12" t="n"/>
      <c r="E13" s="20">
        <f>IF(D13&lt;&gt;"",D13,IF(D1_Rynek!F13&lt;&gt;"",D1_Rynek!F13,IF(C13&lt;&gt;"",C13,"")))</f>
        <v/>
      </c>
      <c r="F13" s="7">
        <f>IF(D13&lt;&gt;"","moja",IF(D1_Rynek!F13&lt;&gt;"","mediana Allegro",IF(C13&lt;&gt;"","agent (szac.)","")))</f>
        <v/>
      </c>
      <c r="G13" s="9" t="n">
        <v>40</v>
      </c>
      <c r="H13" s="12" t="n"/>
      <c r="I13" s="12" t="n"/>
      <c r="J13" s="20">
        <f>IF(AND(H13&lt;&gt;"",I13&lt;&gt;""),H13+I13,IF(G13&lt;&gt;"",G13,""))</f>
        <v/>
      </c>
      <c r="K13" s="7">
        <f>IF(AND(H13&lt;&gt;"",I13&lt;&gt;""),"realny",IF(G13&lt;&gt;"","agent (szac.)",""))</f>
        <v/>
      </c>
      <c r="L13" s="16" t="n"/>
      <c r="M13" s="16" t="n"/>
      <c r="N13" s="21" t="n"/>
      <c r="O13" s="16" t="n"/>
      <c r="P13" s="20">
        <f>IF(E13="","",E13*Zalozenia!$B$5+Zalozenia!$B$6)</f>
        <v/>
      </c>
      <c r="Q13" s="20">
        <f>IF(E13="","",E13*Zalozenia!$B$7)</f>
        <v/>
      </c>
      <c r="R13" s="22">
        <f>IF(OR(E13="",J13=""),"",E13-J13-P13-Q13)</f>
        <v/>
      </c>
      <c r="S13" s="23">
        <f>IF(OR(E13="",J13=""),"",J13/E13)</f>
        <v/>
      </c>
      <c r="T13" s="22">
        <f>R13</f>
        <v/>
      </c>
      <c r="U13" s="17">
        <f>IF(N(R13)&lt;=0,"",Zalozenia!$B$11*Zalozenia!$B$8/R13)</f>
        <v/>
      </c>
      <c r="V13" s="17">
        <f>IF(N(R13)&lt;=0,"",Zalozenia!$B$12*Zalozenia!$B$8/R13)</f>
        <v/>
      </c>
      <c r="W13" s="24">
        <f>IF(N(E13)&lt;=0,"",INT(Zalozenia!$B$14/E13))</f>
        <v/>
      </c>
      <c r="X13" s="7">
        <f>IF(R13="","",IF(R13&lt;Zalozenia!$B$10,"ODRZUĆ: M &lt; min",IF(S13&gt;Zalozenia!$B$9,"ODRZUĆ: udział &gt; próg",IF(K13="agent (szac.)","OK wstępnie — koszt to szacunek","OK"))))</f>
        <v/>
      </c>
    </row>
    <row r="14">
      <c r="A14" s="7" t="n">
        <v>10</v>
      </c>
      <c r="B14" s="19">
        <f>D1_Rynek!B14</f>
        <v/>
      </c>
      <c r="C14" s="9" t="n">
        <v>89</v>
      </c>
      <c r="D14" s="12" t="n"/>
      <c r="E14" s="20">
        <f>IF(D14&lt;&gt;"",D14,IF(D1_Rynek!F14&lt;&gt;"",D1_Rynek!F14,IF(C14&lt;&gt;"",C14,"")))</f>
        <v/>
      </c>
      <c r="F14" s="7">
        <f>IF(D14&lt;&gt;"","moja",IF(D1_Rynek!F14&lt;&gt;"","mediana Allegro",IF(C14&lt;&gt;"","agent (szac.)","")))</f>
        <v/>
      </c>
      <c r="G14" s="9" t="n">
        <v>30</v>
      </c>
      <c r="H14" s="12" t="n"/>
      <c r="I14" s="12" t="n"/>
      <c r="J14" s="20">
        <f>IF(AND(H14&lt;&gt;"",I14&lt;&gt;""),H14+I14,IF(G14&lt;&gt;"",G14,""))</f>
        <v/>
      </c>
      <c r="K14" s="7">
        <f>IF(AND(H14&lt;&gt;"",I14&lt;&gt;""),"realny",IF(G14&lt;&gt;"","agent (szac.)",""))</f>
        <v/>
      </c>
      <c r="L14" s="16" t="n"/>
      <c r="M14" s="16" t="n"/>
      <c r="N14" s="21" t="n"/>
      <c r="O14" s="16" t="n"/>
      <c r="P14" s="20">
        <f>IF(E14="","",E14*Zalozenia!$B$5+Zalozenia!$B$6)</f>
        <v/>
      </c>
      <c r="Q14" s="20">
        <f>IF(E14="","",E14*Zalozenia!$B$7)</f>
        <v/>
      </c>
      <c r="R14" s="22">
        <f>IF(OR(E14="",J14=""),"",E14-J14-P14-Q14)</f>
        <v/>
      </c>
      <c r="S14" s="23">
        <f>IF(OR(E14="",J14=""),"",J14/E14)</f>
        <v/>
      </c>
      <c r="T14" s="22">
        <f>R14</f>
        <v/>
      </c>
      <c r="U14" s="17">
        <f>IF(N(R14)&lt;=0,"",Zalozenia!$B$11*Zalozenia!$B$8/R14)</f>
        <v/>
      </c>
      <c r="V14" s="17">
        <f>IF(N(R14)&lt;=0,"",Zalozenia!$B$12*Zalozenia!$B$8/R14)</f>
        <v/>
      </c>
      <c r="W14" s="24">
        <f>IF(N(E14)&lt;=0,"",INT(Zalozenia!$B$14/E14))</f>
        <v/>
      </c>
      <c r="X14" s="7">
        <f>IF(R14="","",IF(R14&lt;Zalozenia!$B$10,"ODRZUĆ: M &lt; min",IF(S14&gt;Zalozenia!$B$9,"ODRZUĆ: udział &gt; próg",IF(K14="agent (szac.)","OK wstępnie — koszt to szacunek","OK"))))</f>
        <v/>
      </c>
    </row>
    <row r="15">
      <c r="A15" s="7" t="n">
        <v>11</v>
      </c>
      <c r="B15" s="19">
        <f>D1_Rynek!B15</f>
        <v/>
      </c>
      <c r="C15" s="9" t="n">
        <v>79</v>
      </c>
      <c r="D15" s="12" t="n"/>
      <c r="E15" s="20">
        <f>IF(D15&lt;&gt;"",D15,IF(D1_Rynek!F15&lt;&gt;"",D1_Rynek!F15,IF(C15&lt;&gt;"",C15,"")))</f>
        <v/>
      </c>
      <c r="F15" s="7">
        <f>IF(D15&lt;&gt;"","moja",IF(D1_Rynek!F15&lt;&gt;"","mediana Allegro",IF(C15&lt;&gt;"","agent (szac.)","")))</f>
        <v/>
      </c>
      <c r="G15" s="9" t="n">
        <v>22</v>
      </c>
      <c r="H15" s="12" t="n"/>
      <c r="I15" s="12" t="n"/>
      <c r="J15" s="20">
        <f>IF(AND(H15&lt;&gt;"",I15&lt;&gt;""),H15+I15,IF(G15&lt;&gt;"",G15,""))</f>
        <v/>
      </c>
      <c r="K15" s="7">
        <f>IF(AND(H15&lt;&gt;"",I15&lt;&gt;""),"realny",IF(G15&lt;&gt;"","agent (szac.)",""))</f>
        <v/>
      </c>
      <c r="L15" s="16" t="n"/>
      <c r="M15" s="16" t="n"/>
      <c r="N15" s="21" t="n"/>
      <c r="O15" s="16" t="n"/>
      <c r="P15" s="20">
        <f>IF(E15="","",E15*Zalozenia!$B$5+Zalozenia!$B$6)</f>
        <v/>
      </c>
      <c r="Q15" s="20">
        <f>IF(E15="","",E15*Zalozenia!$B$7)</f>
        <v/>
      </c>
      <c r="R15" s="22">
        <f>IF(OR(E15="",J15=""),"",E15-J15-P15-Q15)</f>
        <v/>
      </c>
      <c r="S15" s="23">
        <f>IF(OR(E15="",J15=""),"",J15/E15)</f>
        <v/>
      </c>
      <c r="T15" s="22">
        <f>R15</f>
        <v/>
      </c>
      <c r="U15" s="17">
        <f>IF(N(R15)&lt;=0,"",Zalozenia!$B$11*Zalozenia!$B$8/R15)</f>
        <v/>
      </c>
      <c r="V15" s="17">
        <f>IF(N(R15)&lt;=0,"",Zalozenia!$B$12*Zalozenia!$B$8/R15)</f>
        <v/>
      </c>
      <c r="W15" s="24">
        <f>IF(N(E15)&lt;=0,"",INT(Zalozenia!$B$14/E15))</f>
        <v/>
      </c>
      <c r="X15" s="7">
        <f>IF(R15="","",IF(R15&lt;Zalozenia!$B$10,"ODRZUĆ: M &lt; min",IF(S15&gt;Zalozenia!$B$9,"ODRZUĆ: udział &gt; próg",IF(K15="agent (szac.)","OK wstępnie — koszt to szacunek","OK"))))</f>
        <v/>
      </c>
    </row>
    <row r="16">
      <c r="A16" s="7" t="n">
        <v>12</v>
      </c>
      <c r="B16" s="19">
        <f>D1_Rynek!B16</f>
        <v/>
      </c>
      <c r="C16" s="9" t="n">
        <v>89</v>
      </c>
      <c r="D16" s="12" t="n"/>
      <c r="E16" s="20">
        <f>IF(D16&lt;&gt;"",D16,IF(D1_Rynek!F16&lt;&gt;"",D1_Rynek!F16,IF(C16&lt;&gt;"",C16,"")))</f>
        <v/>
      </c>
      <c r="F16" s="7">
        <f>IF(D16&lt;&gt;"","moja",IF(D1_Rynek!F16&lt;&gt;"","mediana Allegro",IF(C16&lt;&gt;"","agent (szac.)","")))</f>
        <v/>
      </c>
      <c r="G16" s="9" t="n">
        <v>35</v>
      </c>
      <c r="H16" s="12" t="n"/>
      <c r="I16" s="12" t="n"/>
      <c r="J16" s="20">
        <f>IF(AND(H16&lt;&gt;"",I16&lt;&gt;""),H16+I16,IF(G16&lt;&gt;"",G16,""))</f>
        <v/>
      </c>
      <c r="K16" s="7">
        <f>IF(AND(H16&lt;&gt;"",I16&lt;&gt;""),"realny",IF(G16&lt;&gt;"","agent (szac.)",""))</f>
        <v/>
      </c>
      <c r="L16" s="16" t="n"/>
      <c r="M16" s="16" t="n"/>
      <c r="N16" s="21" t="n"/>
      <c r="O16" s="16" t="n"/>
      <c r="P16" s="20">
        <f>IF(E16="","",E16*Zalozenia!$B$5+Zalozenia!$B$6)</f>
        <v/>
      </c>
      <c r="Q16" s="20">
        <f>IF(E16="","",E16*Zalozenia!$B$7)</f>
        <v/>
      </c>
      <c r="R16" s="22">
        <f>IF(OR(E16="",J16=""),"",E16-J16-P16-Q16)</f>
        <v/>
      </c>
      <c r="S16" s="23">
        <f>IF(OR(E16="",J16=""),"",J16/E16)</f>
        <v/>
      </c>
      <c r="T16" s="22">
        <f>R16</f>
        <v/>
      </c>
      <c r="U16" s="17">
        <f>IF(N(R16)&lt;=0,"",Zalozenia!$B$11*Zalozenia!$B$8/R16)</f>
        <v/>
      </c>
      <c r="V16" s="17">
        <f>IF(N(R16)&lt;=0,"",Zalozenia!$B$12*Zalozenia!$B$8/R16)</f>
        <v/>
      </c>
      <c r="W16" s="24">
        <f>IF(N(E16)&lt;=0,"",INT(Zalozenia!$B$14/E16))</f>
        <v/>
      </c>
      <c r="X16" s="7">
        <f>IF(R16="","",IF(R16&lt;Zalozenia!$B$10,"ODRZUĆ: M &lt; min",IF(S16&gt;Zalozenia!$B$9,"ODRZUĆ: udział &gt; próg",IF(K16="agent (szac.)","OK wstępnie — koszt to szacunek","OK"))))</f>
        <v/>
      </c>
    </row>
    <row r="17">
      <c r="A17" s="7" t="n">
        <v>13</v>
      </c>
      <c r="B17" s="19">
        <f>D1_Rynek!B17</f>
        <v/>
      </c>
      <c r="C17" s="9" t="n"/>
      <c r="D17" s="12" t="n"/>
      <c r="E17" s="20">
        <f>IF(D17&lt;&gt;"",D17,IF(D1_Rynek!F17&lt;&gt;"",D1_Rynek!F17,IF(C17&lt;&gt;"",C17,"")))</f>
        <v/>
      </c>
      <c r="F17" s="7">
        <f>IF(D17&lt;&gt;"","moja",IF(D1_Rynek!F17&lt;&gt;"","mediana Allegro",IF(C17&lt;&gt;"","agent (szac.)","")))</f>
        <v/>
      </c>
      <c r="G17" s="9" t="n"/>
      <c r="H17" s="12" t="n"/>
      <c r="I17" s="12" t="n"/>
      <c r="J17" s="20">
        <f>IF(AND(H17&lt;&gt;"",I17&lt;&gt;""),H17+I17,IF(G17&lt;&gt;"",G17,""))</f>
        <v/>
      </c>
      <c r="K17" s="7">
        <f>IF(AND(H17&lt;&gt;"",I17&lt;&gt;""),"realny",IF(G17&lt;&gt;"","agent (szac.)",""))</f>
        <v/>
      </c>
      <c r="L17" s="16" t="n"/>
      <c r="M17" s="16" t="n"/>
      <c r="N17" s="21" t="n"/>
      <c r="O17" s="16" t="n"/>
      <c r="P17" s="20">
        <f>IF(E17="","",E17*Zalozenia!$B$5+Zalozenia!$B$6)</f>
        <v/>
      </c>
      <c r="Q17" s="20">
        <f>IF(E17="","",E17*Zalozenia!$B$7)</f>
        <v/>
      </c>
      <c r="R17" s="22">
        <f>IF(OR(E17="",J17=""),"",E17-J17-P17-Q17)</f>
        <v/>
      </c>
      <c r="S17" s="23">
        <f>IF(OR(E17="",J17=""),"",J17/E17)</f>
        <v/>
      </c>
      <c r="T17" s="22">
        <f>R17</f>
        <v/>
      </c>
      <c r="U17" s="17">
        <f>IF(N(R17)&lt;=0,"",Zalozenia!$B$11*Zalozenia!$B$8/R17)</f>
        <v/>
      </c>
      <c r="V17" s="17">
        <f>IF(N(R17)&lt;=0,"",Zalozenia!$B$12*Zalozenia!$B$8/R17)</f>
        <v/>
      </c>
      <c r="W17" s="24">
        <f>IF(N(E17)&lt;=0,"",INT(Zalozenia!$B$14/E17))</f>
        <v/>
      </c>
      <c r="X17" s="7">
        <f>IF(R17="","",IF(R17&lt;Zalozenia!$B$10,"ODRZUĆ: M &lt; min",IF(S17&gt;Zalozenia!$B$9,"ODRZUĆ: udział &gt; próg",IF(K17="agent (szac.)","OK wstępnie — koszt to szacunek","OK"))))</f>
        <v/>
      </c>
    </row>
    <row r="18">
      <c r="A18" s="7" t="n">
        <v>14</v>
      </c>
      <c r="B18" s="19">
        <f>D1_Rynek!B18</f>
        <v/>
      </c>
      <c r="C18" s="9" t="n"/>
      <c r="D18" s="12" t="n"/>
      <c r="E18" s="20">
        <f>IF(D18&lt;&gt;"",D18,IF(D1_Rynek!F18&lt;&gt;"",D1_Rynek!F18,IF(C18&lt;&gt;"",C18,"")))</f>
        <v/>
      </c>
      <c r="F18" s="7">
        <f>IF(D18&lt;&gt;"","moja",IF(D1_Rynek!F18&lt;&gt;"","mediana Allegro",IF(C18&lt;&gt;"","agent (szac.)","")))</f>
        <v/>
      </c>
      <c r="G18" s="9" t="n"/>
      <c r="H18" s="12" t="n"/>
      <c r="I18" s="12" t="n"/>
      <c r="J18" s="20">
        <f>IF(AND(H18&lt;&gt;"",I18&lt;&gt;""),H18+I18,IF(G18&lt;&gt;"",G18,""))</f>
        <v/>
      </c>
      <c r="K18" s="7">
        <f>IF(AND(H18&lt;&gt;"",I18&lt;&gt;""),"realny",IF(G18&lt;&gt;"","agent (szac.)",""))</f>
        <v/>
      </c>
      <c r="L18" s="16" t="n"/>
      <c r="M18" s="16" t="n"/>
      <c r="N18" s="21" t="n"/>
      <c r="O18" s="16" t="n"/>
      <c r="P18" s="20">
        <f>IF(E18="","",E18*Zalozenia!$B$5+Zalozenia!$B$6)</f>
        <v/>
      </c>
      <c r="Q18" s="20">
        <f>IF(E18="","",E18*Zalozenia!$B$7)</f>
        <v/>
      </c>
      <c r="R18" s="22">
        <f>IF(OR(E18="",J18=""),"",E18-J18-P18-Q18)</f>
        <v/>
      </c>
      <c r="S18" s="23">
        <f>IF(OR(E18="",J18=""),"",J18/E18)</f>
        <v/>
      </c>
      <c r="T18" s="22">
        <f>R18</f>
        <v/>
      </c>
      <c r="U18" s="17">
        <f>IF(N(R18)&lt;=0,"",Zalozenia!$B$11*Zalozenia!$B$8/R18)</f>
        <v/>
      </c>
      <c r="V18" s="17">
        <f>IF(N(R18)&lt;=0,"",Zalozenia!$B$12*Zalozenia!$B$8/R18)</f>
        <v/>
      </c>
      <c r="W18" s="24">
        <f>IF(N(E18)&lt;=0,"",INT(Zalozenia!$B$14/E18))</f>
        <v/>
      </c>
      <c r="X18" s="7">
        <f>IF(R18="","",IF(R18&lt;Zalozenia!$B$10,"ODRZUĆ: M &lt; min",IF(S18&gt;Zalozenia!$B$9,"ODRZUĆ: udział &gt; próg",IF(K18="agent (szac.)","OK wstępnie — koszt to szacunek","OK"))))</f>
        <v/>
      </c>
    </row>
    <row r="19">
      <c r="A19" s="7" t="n">
        <v>15</v>
      </c>
      <c r="B19" s="19">
        <f>D1_Rynek!B19</f>
        <v/>
      </c>
      <c r="C19" s="9" t="n"/>
      <c r="D19" s="12" t="n"/>
      <c r="E19" s="20">
        <f>IF(D19&lt;&gt;"",D19,IF(D1_Rynek!F19&lt;&gt;"",D1_Rynek!F19,IF(C19&lt;&gt;"",C19,"")))</f>
        <v/>
      </c>
      <c r="F19" s="7">
        <f>IF(D19&lt;&gt;"","moja",IF(D1_Rynek!F19&lt;&gt;"","mediana Allegro",IF(C19&lt;&gt;"","agent (szac.)","")))</f>
        <v/>
      </c>
      <c r="G19" s="9" t="n"/>
      <c r="H19" s="12" t="n"/>
      <c r="I19" s="12" t="n"/>
      <c r="J19" s="20">
        <f>IF(AND(H19&lt;&gt;"",I19&lt;&gt;""),H19+I19,IF(G19&lt;&gt;"",G19,""))</f>
        <v/>
      </c>
      <c r="K19" s="7">
        <f>IF(AND(H19&lt;&gt;"",I19&lt;&gt;""),"realny",IF(G19&lt;&gt;"","agent (szac.)",""))</f>
        <v/>
      </c>
      <c r="L19" s="16" t="n"/>
      <c r="M19" s="16" t="n"/>
      <c r="N19" s="21" t="n"/>
      <c r="O19" s="16" t="n"/>
      <c r="P19" s="20">
        <f>IF(E19="","",E19*Zalozenia!$B$5+Zalozenia!$B$6)</f>
        <v/>
      </c>
      <c r="Q19" s="20">
        <f>IF(E19="","",E19*Zalozenia!$B$7)</f>
        <v/>
      </c>
      <c r="R19" s="22">
        <f>IF(OR(E19="",J19=""),"",E19-J19-P19-Q19)</f>
        <v/>
      </c>
      <c r="S19" s="23">
        <f>IF(OR(E19="",J19=""),"",J19/E19)</f>
        <v/>
      </c>
      <c r="T19" s="22">
        <f>R19</f>
        <v/>
      </c>
      <c r="U19" s="17">
        <f>IF(N(R19)&lt;=0,"",Zalozenia!$B$11*Zalozenia!$B$8/R19)</f>
        <v/>
      </c>
      <c r="V19" s="17">
        <f>IF(N(R19)&lt;=0,"",Zalozenia!$B$12*Zalozenia!$B$8/R19)</f>
        <v/>
      </c>
      <c r="W19" s="24">
        <f>IF(N(E19)&lt;=0,"",INT(Zalozenia!$B$14/E19))</f>
        <v/>
      </c>
      <c r="X19" s="7">
        <f>IF(R19="","",IF(R19&lt;Zalozenia!$B$10,"ODRZUĆ: M &lt; min",IF(S19&gt;Zalozenia!$B$9,"ODRZUĆ: udział &gt; próg",IF(K19="agent (szac.)","OK wstępnie — koszt to szacunek","OK"))))</f>
        <v/>
      </c>
    </row>
    <row r="20">
      <c r="A20" s="7" t="n">
        <v>16</v>
      </c>
      <c r="B20" s="19">
        <f>D1_Rynek!B20</f>
        <v/>
      </c>
      <c r="C20" s="9" t="n"/>
      <c r="D20" s="12" t="n"/>
      <c r="E20" s="20">
        <f>IF(D20&lt;&gt;"",D20,IF(D1_Rynek!F20&lt;&gt;"",D1_Rynek!F20,IF(C20&lt;&gt;"",C20,"")))</f>
        <v/>
      </c>
      <c r="F20" s="7">
        <f>IF(D20&lt;&gt;"","moja",IF(D1_Rynek!F20&lt;&gt;"","mediana Allegro",IF(C20&lt;&gt;"","agent (szac.)","")))</f>
        <v/>
      </c>
      <c r="G20" s="9" t="n"/>
      <c r="H20" s="12" t="n"/>
      <c r="I20" s="12" t="n"/>
      <c r="J20" s="20">
        <f>IF(AND(H20&lt;&gt;"",I20&lt;&gt;""),H20+I20,IF(G20&lt;&gt;"",G20,""))</f>
        <v/>
      </c>
      <c r="K20" s="7">
        <f>IF(AND(H20&lt;&gt;"",I20&lt;&gt;""),"realny",IF(G20&lt;&gt;"","agent (szac.)",""))</f>
        <v/>
      </c>
      <c r="L20" s="16" t="n"/>
      <c r="M20" s="16" t="n"/>
      <c r="N20" s="21" t="n"/>
      <c r="O20" s="16" t="n"/>
      <c r="P20" s="20">
        <f>IF(E20="","",E20*Zalozenia!$B$5+Zalozenia!$B$6)</f>
        <v/>
      </c>
      <c r="Q20" s="20">
        <f>IF(E20="","",E20*Zalozenia!$B$7)</f>
        <v/>
      </c>
      <c r="R20" s="22">
        <f>IF(OR(E20="",J20=""),"",E20-J20-P20-Q20)</f>
        <v/>
      </c>
      <c r="S20" s="23">
        <f>IF(OR(E20="",J20=""),"",J20/E20)</f>
        <v/>
      </c>
      <c r="T20" s="22">
        <f>R20</f>
        <v/>
      </c>
      <c r="U20" s="17">
        <f>IF(N(R20)&lt;=0,"",Zalozenia!$B$11*Zalozenia!$B$8/R20)</f>
        <v/>
      </c>
      <c r="V20" s="17">
        <f>IF(N(R20)&lt;=0,"",Zalozenia!$B$12*Zalozenia!$B$8/R20)</f>
        <v/>
      </c>
      <c r="W20" s="24">
        <f>IF(N(E20)&lt;=0,"",INT(Zalozenia!$B$14/E20))</f>
        <v/>
      </c>
      <c r="X20" s="7">
        <f>IF(R20="","",IF(R20&lt;Zalozenia!$B$10,"ODRZUĆ: M &lt; min",IF(S20&gt;Zalozenia!$B$9,"ODRZUĆ: udział &gt; próg",IF(K20="agent (szac.)","OK wstępnie — koszt to szacunek","OK"))))</f>
        <v/>
      </c>
    </row>
    <row r="21">
      <c r="A21" s="7" t="n">
        <v>17</v>
      </c>
      <c r="B21" s="19">
        <f>D1_Rynek!B21</f>
        <v/>
      </c>
      <c r="C21" s="9" t="n"/>
      <c r="D21" s="12" t="n"/>
      <c r="E21" s="20">
        <f>IF(D21&lt;&gt;"",D21,IF(D1_Rynek!F21&lt;&gt;"",D1_Rynek!F21,IF(C21&lt;&gt;"",C21,"")))</f>
        <v/>
      </c>
      <c r="F21" s="7">
        <f>IF(D21&lt;&gt;"","moja",IF(D1_Rynek!F21&lt;&gt;"","mediana Allegro",IF(C21&lt;&gt;"","agent (szac.)","")))</f>
        <v/>
      </c>
      <c r="G21" s="9" t="n"/>
      <c r="H21" s="12" t="n"/>
      <c r="I21" s="12" t="n"/>
      <c r="J21" s="20">
        <f>IF(AND(H21&lt;&gt;"",I21&lt;&gt;""),H21+I21,IF(G21&lt;&gt;"",G21,""))</f>
        <v/>
      </c>
      <c r="K21" s="7">
        <f>IF(AND(H21&lt;&gt;"",I21&lt;&gt;""),"realny",IF(G21&lt;&gt;"","agent (szac.)",""))</f>
        <v/>
      </c>
      <c r="L21" s="16" t="n"/>
      <c r="M21" s="16" t="n"/>
      <c r="N21" s="21" t="n"/>
      <c r="O21" s="16" t="n"/>
      <c r="P21" s="20">
        <f>IF(E21="","",E21*Zalozenia!$B$5+Zalozenia!$B$6)</f>
        <v/>
      </c>
      <c r="Q21" s="20">
        <f>IF(E21="","",E21*Zalozenia!$B$7)</f>
        <v/>
      </c>
      <c r="R21" s="22">
        <f>IF(OR(E21="",J21=""),"",E21-J21-P21-Q21)</f>
        <v/>
      </c>
      <c r="S21" s="23">
        <f>IF(OR(E21="",J21=""),"",J21/E21)</f>
        <v/>
      </c>
      <c r="T21" s="22">
        <f>R21</f>
        <v/>
      </c>
      <c r="U21" s="17">
        <f>IF(N(R21)&lt;=0,"",Zalozenia!$B$11*Zalozenia!$B$8/R21)</f>
        <v/>
      </c>
      <c r="V21" s="17">
        <f>IF(N(R21)&lt;=0,"",Zalozenia!$B$12*Zalozenia!$B$8/R21)</f>
        <v/>
      </c>
      <c r="W21" s="24">
        <f>IF(N(E21)&lt;=0,"",INT(Zalozenia!$B$14/E21))</f>
        <v/>
      </c>
      <c r="X21" s="7">
        <f>IF(R21="","",IF(R21&lt;Zalozenia!$B$10,"ODRZUĆ: M &lt; min",IF(S21&gt;Zalozenia!$B$9,"ODRZUĆ: udział &gt; próg",IF(K21="agent (szac.)","OK wstępnie — koszt to szacunek","OK"))))</f>
        <v/>
      </c>
    </row>
  </sheetData>
  <conditionalFormatting sqref="X5:X21">
    <cfRule type="expression" priority="1" dxfId="0">
      <formula>LEFT(X5,6)="ODRZUĆ"</formula>
    </cfRule>
  </conditionalFormatting>
  <conditionalFormatting sqref="S5:S21">
    <cfRule type="expression" priority="2" dxfId="1">
      <formula>AND(S5&lt;&gt;"",S5&gt;Zalozenia!$B$9)</formula>
    </cfRule>
  </conditionalFormatting>
  <dataValidations count="1">
    <dataValidation sqref="M5 M6 M7 M8 M9 M10 M11 M12 M13 M14 M15 M16 M17 M18 M19 M20 M21 O5 O6 O7 O8 O9 O10 O11 O12 O13 O14 O15 O16 O17 O18 O19 O20 O21" showDropDown="0" showInputMessage="0" showErrorMessage="0" allowBlank="1" type="list">
      <formula1>"T,N"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3" customWidth="1" min="12" max="12"/>
    <col width="12" customWidth="1" min="13" max="13"/>
    <col width="12" customWidth="1" min="14" max="14"/>
    <col width="3" customWidth="1" min="15" max="15"/>
    <col width="24" customWidth="1" min="16" max="16"/>
    <col width="20" customWidth="1" min="17" max="17"/>
    <col width="11" customWidth="1" min="18" max="18"/>
    <col width="11" customWidth="1" min="19" max="19"/>
    <col width="40" customWidth="1" min="20" max="20"/>
  </cols>
  <sheetData>
    <row r="1">
      <c r="A1" s="1" t="inlineStr">
        <is>
          <t>Dzień 3 — punktacja (1–5) i kryteria eliminujące</t>
        </is>
      </c>
    </row>
    <row r="2">
      <c r="A2" s="3" t="inlineStr">
        <is>
          <t>Kol. C–J: ocena uzgodniona. Kol. L–O: TAK = eliminuje. Wynik liczy się sam. Suma agenta tylko do porównania.</t>
        </is>
      </c>
    </row>
    <row r="3">
      <c r="B3" s="4" t="inlineStr">
        <is>
          <t>Wagi →</t>
        </is>
      </c>
      <c r="C3" s="25" t="n">
        <v>2</v>
      </c>
      <c r="D3" s="25" t="n">
        <v>2</v>
      </c>
      <c r="E3" s="25" t="n">
        <v>2</v>
      </c>
      <c r="F3" s="25" t="n">
        <v>2</v>
      </c>
      <c r="G3" s="25" t="n">
        <v>1</v>
      </c>
      <c r="H3" s="25" t="n">
        <v>1</v>
      </c>
      <c r="I3" s="25" t="n">
        <v>1</v>
      </c>
      <c r="J3" s="25" t="n">
        <v>2</v>
      </c>
    </row>
    <row r="4" ht="45" customHeight="1">
      <c r="A4" s="13" t="inlineStr">
        <is>
          <t>#</t>
        </is>
      </c>
      <c r="B4" s="13" t="inlineStr">
        <is>
          <t>Kandydat</t>
        </is>
      </c>
      <c r="C4" s="13" t="inlineStr">
        <is>
          <t>Cena (×2)</t>
        </is>
      </c>
      <c r="D4" s="13" t="inlineStr">
        <is>
          <t>Marża (×2)</t>
        </is>
      </c>
      <c r="E4" s="13" t="inlineStr">
        <is>
          <t>Wow / wideo (×2)</t>
        </is>
      </c>
      <c r="F4" s="13" t="inlineStr">
        <is>
          <t>Dostawca (×2)</t>
        </is>
      </c>
      <c r="G4" s="13" t="inlineStr">
        <is>
          <t>Nasycenie (×1)</t>
        </is>
      </c>
      <c r="H4" s="13" t="inlineStr">
        <is>
          <t>Sezonowość (×1)</t>
        </is>
      </c>
      <c r="I4" s="13" t="inlineStr">
        <is>
          <t>Ryzyko zwrotów (×1)</t>
        </is>
      </c>
      <c r="J4" s="13" t="inlineStr">
        <is>
          <t>Zgodność z PL (×2)</t>
        </is>
      </c>
      <c r="K4" s="13" t="inlineStr">
        <is>
          <t>Wynik (maks. 65)</t>
        </is>
      </c>
      <c r="L4" s="13" t="inlineStr">
        <is>
          <t>Certyfikat nie do potwierdzenia</t>
        </is>
      </c>
      <c r="M4" s="13" t="inlineStr">
        <is>
          <t>Twierdzenia zdrowotne</t>
        </is>
      </c>
      <c r="N4" s="13" t="inlineStr">
        <is>
          <t>Kategoria wyłączona z VAT</t>
        </is>
      </c>
      <c r="O4" s="13" t="inlineStr">
        <is>
          <t>—</t>
        </is>
      </c>
      <c r="P4" s="13" t="inlineStr">
        <is>
          <t>Eliminacja (auto)</t>
        </is>
      </c>
      <c r="Q4" s="13" t="inlineStr">
        <is>
          <t>Status (auto)</t>
        </is>
      </c>
      <c r="R4" s="13" t="inlineStr">
        <is>
          <t>Suma agenta (stara)</t>
        </is>
      </c>
      <c r="S4" s="13" t="inlineStr">
        <is>
          <t>M (z D2)</t>
        </is>
      </c>
      <c r="T4" s="13" t="inlineStr">
        <is>
          <t>Główne ryzyko</t>
        </is>
      </c>
    </row>
    <row r="5">
      <c r="A5" s="7" t="n">
        <v>1</v>
      </c>
      <c r="B5" s="19">
        <f>D1_Rynek!B5</f>
        <v/>
      </c>
      <c r="C5" s="21" t="n"/>
      <c r="D5" s="21" t="n"/>
      <c r="E5" s="21" t="n"/>
      <c r="F5" s="21" t="n"/>
      <c r="G5" s="21" t="n"/>
      <c r="H5" s="21" t="n"/>
      <c r="I5" s="21" t="n"/>
      <c r="J5" s="21" t="n"/>
      <c r="K5" s="26">
        <f>IF(COUNT(C5:J5)&lt;8,"",SUMPRODUCT(C5:J5,$C$3:$J$3))</f>
        <v/>
      </c>
      <c r="L5" s="16" t="n"/>
      <c r="M5" s="16" t="n"/>
      <c r="N5" s="16" t="n"/>
      <c r="O5" s="7" t="n"/>
      <c r="P5" s="7">
        <f>IF(OR(L5="TAK",M5="TAK",N5="TAK"),"TAK — kryterium eliminujące",IF(AND(D5&lt;&gt;"",D5&lt;3),"TAK — Marża &lt; 3",IF(AND(J5&lt;&gt;"",J5&lt;3),"TAK — Zgodność &lt; 3","NIE")))</f>
        <v/>
      </c>
      <c r="Q5" s="27">
        <f>IF(LEFT(P5,3)="TAK","ODRZUCONY",IF(K5="","do oceny",IF(K5&gt;=Zalozenia!$B$13,"SHORTLISTA","poniżej progu")))</f>
        <v/>
      </c>
      <c r="R5" s="11" t="n">
        <v>54</v>
      </c>
      <c r="S5" s="28">
        <f>D2_Ekonomika!R5</f>
        <v/>
      </c>
      <c r="T5" s="18" t="inlineStr">
        <is>
          <t>Klony w DE od lat; cena 140 zł trudna w PL; PKWiU ⚠️</t>
        </is>
      </c>
    </row>
    <row r="6">
      <c r="A6" s="7" t="n">
        <v>2</v>
      </c>
      <c r="B6" s="19">
        <f>D1_Rynek!B6</f>
        <v/>
      </c>
      <c r="C6" s="21" t="n"/>
      <c r="D6" s="21" t="n"/>
      <c r="E6" s="21" t="n"/>
      <c r="F6" s="21" t="n"/>
      <c r="G6" s="21" t="n"/>
      <c r="H6" s="21" t="n"/>
      <c r="I6" s="21" t="n"/>
      <c r="J6" s="21" t="n"/>
      <c r="K6" s="26">
        <f>IF(COUNT(C6:J6)&lt;8,"",SUMPRODUCT(C6:J6,$C$3:$J$3))</f>
        <v/>
      </c>
      <c r="L6" s="16" t="n"/>
      <c r="M6" s="16" t="n"/>
      <c r="N6" s="16" t="n"/>
      <c r="O6" s="7" t="n"/>
      <c r="P6" s="7">
        <f>IF(OR(L6="TAK",M6="TAK",N6="TAK"),"TAK — kryterium eliminujące",IF(AND(D6&lt;&gt;"",D6&lt;3),"TAK — Marża &lt; 3",IF(AND(J6&lt;&gt;"",J6&lt;3),"TAK — Zgodność &lt; 3","NIE")))</f>
        <v/>
      </c>
      <c r="Q6" s="27">
        <f>IF(LEFT(P6,3)="TAK","ODRZUCONY",IF(K6="","do oceny",IF(K6&gt;=Zalozenia!$B$13,"SHORTLISTA","poniżej progu")))</f>
        <v/>
      </c>
      <c r="R6" s="11" t="n">
        <v>53</v>
      </c>
      <c r="S6" s="28">
        <f>D2_Ekonomika!R6</f>
        <v/>
      </c>
      <c r="T6" s="18" t="inlineStr">
        <is>
          <t>Zakaz reklamy alkoholu (poza piwem); palnik bez gazu; PKWiU palnika ⚠️</t>
        </is>
      </c>
    </row>
    <row r="7">
      <c r="A7" s="7" t="n">
        <v>3</v>
      </c>
      <c r="B7" s="19">
        <f>D1_Rynek!B7</f>
        <v/>
      </c>
      <c r="C7" s="21" t="n"/>
      <c r="D7" s="21" t="n"/>
      <c r="E7" s="21" t="n"/>
      <c r="F7" s="21" t="n"/>
      <c r="G7" s="21" t="n"/>
      <c r="H7" s="21" t="n"/>
      <c r="I7" s="21" t="n"/>
      <c r="J7" s="21" t="n"/>
      <c r="K7" s="26">
        <f>IF(COUNT(C7:J7)&lt;8,"",SUMPRODUCT(C7:J7,$C$3:$J$3))</f>
        <v/>
      </c>
      <c r="L7" s="16" t="n"/>
      <c r="M7" s="16" t="n"/>
      <c r="N7" s="16" t="n"/>
      <c r="O7" s="7" t="n"/>
      <c r="P7" s="7">
        <f>IF(OR(L7="TAK",M7="TAK",N7="TAK"),"TAK — kryterium eliminujące",IF(AND(D7&lt;&gt;"",D7&lt;3),"TAK — Marża &lt; 3",IF(AND(J7&lt;&gt;"",J7&lt;3),"TAK — Zgodność &lt; 3","NIE")))</f>
        <v/>
      </c>
      <c r="Q7" s="27">
        <f>IF(LEFT(P7,3)="TAK","ODRZUCONY",IF(K7="","do oceny",IF(K7&gt;=Zalozenia!$B$13,"SHORTLISTA","poniżej progu")))</f>
        <v/>
      </c>
      <c r="R7" s="11" t="n">
        <v>51</v>
      </c>
      <c r="S7" s="28">
        <f>D2_Ekonomika!R7</f>
        <v/>
      </c>
      <c r="T7" s="18" t="inlineStr">
        <is>
          <t>Udział 38% &gt; próg; ~2 kg; wgniecenia</t>
        </is>
      </c>
    </row>
    <row r="8">
      <c r="A8" s="7" t="n">
        <v>4</v>
      </c>
      <c r="B8" s="19">
        <f>D1_Rynek!B8</f>
        <v/>
      </c>
      <c r="C8" s="21" t="n"/>
      <c r="D8" s="21" t="n"/>
      <c r="E8" s="21" t="n"/>
      <c r="F8" s="21" t="n"/>
      <c r="G8" s="21" t="n"/>
      <c r="H8" s="21" t="n"/>
      <c r="I8" s="21" t="n"/>
      <c r="J8" s="21" t="n"/>
      <c r="K8" s="26">
        <f>IF(COUNT(C8:J8)&lt;8,"",SUMPRODUCT(C8:J8,$C$3:$J$3))</f>
        <v/>
      </c>
      <c r="L8" s="16" t="n"/>
      <c r="M8" s="16" t="n"/>
      <c r="N8" s="16" t="n"/>
      <c r="O8" s="7" t="n"/>
      <c r="P8" s="7">
        <f>IF(OR(L8="TAK",M8="TAK",N8="TAK"),"TAK — kryterium eliminujące",IF(AND(D8&lt;&gt;"",D8&lt;3),"TAK — Marża &lt; 3",IF(AND(J8&lt;&gt;"",J8&lt;3),"TAK — Zgodność &lt; 3","NIE")))</f>
        <v/>
      </c>
      <c r="Q8" s="27">
        <f>IF(LEFT(P8,3)="TAK","ODRZUCONY",IF(K8="","do oceny",IF(K8&gt;=Zalozenia!$B$13,"SHORTLISTA","poniżej progu")))</f>
        <v/>
      </c>
      <c r="R8" s="11" t="n">
        <v>53</v>
      </c>
      <c r="S8" s="28">
        <f>D2_Ekonomika!R8</f>
        <v/>
      </c>
      <c r="T8" s="18" t="inlineStr">
        <is>
          <t>Druk w PL, nie dropshipping; rynek nasycony</t>
        </is>
      </c>
    </row>
    <row r="9">
      <c r="A9" s="7" t="n">
        <v>5</v>
      </c>
      <c r="B9" s="19">
        <f>D1_Rynek!B9</f>
        <v/>
      </c>
      <c r="C9" s="21" t="n"/>
      <c r="D9" s="21" t="n"/>
      <c r="E9" s="21" t="n"/>
      <c r="F9" s="21" t="n"/>
      <c r="G9" s="21" t="n"/>
      <c r="H9" s="21" t="n"/>
      <c r="I9" s="21" t="n"/>
      <c r="J9" s="21" t="n"/>
      <c r="K9" s="26">
        <f>IF(COUNT(C9:J9)&lt;8,"",SUMPRODUCT(C9:J9,$C$3:$J$3))</f>
        <v/>
      </c>
      <c r="L9" s="16" t="n"/>
      <c r="M9" s="16" t="n"/>
      <c r="N9" s="16" t="n"/>
      <c r="O9" s="7" t="n"/>
      <c r="P9" s="7">
        <f>IF(OR(L9="TAK",M9="TAK",N9="TAK"),"TAK — kryterium eliminujące",IF(AND(D9&lt;&gt;"",D9&lt;3),"TAK — Marża &lt; 3",IF(AND(J9&lt;&gt;"",J9&lt;3),"TAK — Zgodność &lt; 3","NIE")))</f>
        <v/>
      </c>
      <c r="Q9" s="27">
        <f>IF(LEFT(P9,3)="TAK","ODRZUCONY",IF(K9="","do oceny",IF(K9&gt;=Zalozenia!$B$13,"SHORTLISTA","poniżej progu")))</f>
        <v/>
      </c>
      <c r="R9" s="11" t="n">
        <v>52</v>
      </c>
      <c r="S9" s="28">
        <f>D2_Ekonomika!R9</f>
        <v/>
      </c>
      <c r="T9" s="18" t="inlineStr">
        <is>
          <t>EN71/CE i oznaczenie 14+ od dostawcy ⚠️</t>
        </is>
      </c>
    </row>
    <row r="10">
      <c r="A10" s="7" t="n">
        <v>6</v>
      </c>
      <c r="B10" s="19">
        <f>D1_Rynek!B10</f>
        <v/>
      </c>
      <c r="C10" s="21" t="n"/>
      <c r="D10" s="21" t="n"/>
      <c r="E10" s="21" t="n"/>
      <c r="F10" s="21" t="n"/>
      <c r="G10" s="21" t="n"/>
      <c r="H10" s="21" t="n"/>
      <c r="I10" s="21" t="n"/>
      <c r="J10" s="21" t="n"/>
      <c r="K10" s="26">
        <f>IF(COUNT(C10:J10)&lt;8,"",SUMPRODUCT(C10:J10,$C$3:$J$3))</f>
        <v/>
      </c>
      <c r="L10" s="16" t="n"/>
      <c r="M10" s="16" t="n"/>
      <c r="N10" s="16" t="n"/>
      <c r="O10" s="7" t="n"/>
      <c r="P10" s="7">
        <f>IF(OR(L10="TAK",M10="TAK",N10="TAK"),"TAK — kryterium eliminujące",IF(AND(D10&lt;&gt;"",D10&lt;3),"TAK — Marża &lt; 3",IF(AND(J10&lt;&gt;"",J10&lt;3),"TAK — Zgodność &lt; 3","NIE")))</f>
        <v/>
      </c>
      <c r="Q10" s="27">
        <f>IF(LEFT(P10,3)="TAK","ODRZUCONY",IF(K10="","do oceny",IF(K10&gt;=Zalozenia!$B$13,"SHORTLISTA","poniżej progu")))</f>
        <v/>
      </c>
      <c r="R10" s="11" t="n">
        <v>51</v>
      </c>
      <c r="S10" s="28">
        <f>D2_Ekonomika!R10</f>
        <v/>
      </c>
      <c r="T10" s="18" t="inlineStr">
        <is>
          <t>„Część pojazdu” w VAT? ⚠️</t>
        </is>
      </c>
    </row>
    <row r="11">
      <c r="A11" s="7" t="n">
        <v>7</v>
      </c>
      <c r="B11" s="19">
        <f>D1_Rynek!B11</f>
        <v/>
      </c>
      <c r="C11" s="21" t="n"/>
      <c r="D11" s="21" t="n"/>
      <c r="E11" s="21" t="n"/>
      <c r="F11" s="21" t="n"/>
      <c r="G11" s="21" t="n"/>
      <c r="H11" s="21" t="n"/>
      <c r="I11" s="21" t="n"/>
      <c r="J11" s="21" t="n"/>
      <c r="K11" s="26">
        <f>IF(COUNT(C11:J11)&lt;8,"",SUMPRODUCT(C11:J11,$C$3:$J$3))</f>
        <v/>
      </c>
      <c r="L11" s="16" t="n"/>
      <c r="M11" s="16" t="n"/>
      <c r="N11" s="16" t="n"/>
      <c r="O11" s="7" t="n"/>
      <c r="P11" s="7">
        <f>IF(OR(L11="TAK",M11="TAK",N11="TAK"),"TAK — kryterium eliminujące",IF(AND(D11&lt;&gt;"",D11&lt;3),"TAK — Marża &lt; 3",IF(AND(J11&lt;&gt;"",J11&lt;3),"TAK — Zgodność &lt; 3","NIE")))</f>
        <v/>
      </c>
      <c r="Q11" s="27">
        <f>IF(LEFT(P11,3)="TAK","ODRZUCONY",IF(K11="","do oceny",IF(K11&gt;=Zalozenia!$B$13,"SHORTLISTA","poniżej progu")))</f>
        <v/>
      </c>
      <c r="R11" s="11" t="n">
        <v>54</v>
      </c>
      <c r="S11" s="28">
        <f>D2_Ekonomika!R11</f>
        <v/>
      </c>
      <c r="T11" s="18" t="inlineStr">
        <is>
          <t>Tania konkurencja od 40 zł</t>
        </is>
      </c>
    </row>
    <row r="12">
      <c r="A12" s="7" t="n">
        <v>8</v>
      </c>
      <c r="B12" s="19">
        <f>D1_Rynek!B12</f>
        <v/>
      </c>
      <c r="C12" s="21" t="n"/>
      <c r="D12" s="21" t="n"/>
      <c r="E12" s="21" t="n"/>
      <c r="F12" s="21" t="n"/>
      <c r="G12" s="21" t="n"/>
      <c r="H12" s="21" t="n"/>
      <c r="I12" s="21" t="n"/>
      <c r="J12" s="21" t="n"/>
      <c r="K12" s="26">
        <f>IF(COUNT(C12:J12)&lt;8,"",SUMPRODUCT(C12:J12,$C$3:$J$3))</f>
        <v/>
      </c>
      <c r="L12" s="16" t="n"/>
      <c r="M12" s="16" t="n"/>
      <c r="N12" s="16" t="n"/>
      <c r="O12" s="7" t="n"/>
      <c r="P12" s="7">
        <f>IF(OR(L12="TAK",M12="TAK",N12="TAK"),"TAK — kryterium eliminujące",IF(AND(D12&lt;&gt;"",D12&lt;3),"TAK — Marża &lt; 3",IF(AND(J12&lt;&gt;"",J12&lt;3),"TAK — Zgodność &lt; 3","NIE")))</f>
        <v/>
      </c>
      <c r="Q12" s="27">
        <f>IF(LEFT(P12,3)="TAK","ODRZUCONY",IF(K12="","do oceny",IF(K12&gt;=Zalozenia!$B$13,"SHORTLISTA","poniżej progu")))</f>
        <v/>
      </c>
      <c r="R12" s="11" t="n">
        <v>51</v>
      </c>
      <c r="S12" s="28">
        <f>D2_Ekonomika!R12</f>
        <v/>
      </c>
      <c r="T12" s="18" t="inlineStr">
        <is>
          <t>Sezon X–II; niskie M</t>
        </is>
      </c>
    </row>
    <row r="13">
      <c r="A13" s="7" t="n">
        <v>9</v>
      </c>
      <c r="B13" s="19">
        <f>D1_Rynek!B13</f>
        <v/>
      </c>
      <c r="C13" s="21" t="n"/>
      <c r="D13" s="21" t="n"/>
      <c r="E13" s="21" t="n"/>
      <c r="F13" s="21" t="n"/>
      <c r="G13" s="21" t="n"/>
      <c r="H13" s="21" t="n"/>
      <c r="I13" s="21" t="n"/>
      <c r="J13" s="21" t="n"/>
      <c r="K13" s="26">
        <f>IF(COUNT(C13:J13)&lt;8,"",SUMPRODUCT(C13:J13,$C$3:$J$3))</f>
        <v/>
      </c>
      <c r="L13" s="16" t="n"/>
      <c r="M13" s="16" t="n"/>
      <c r="N13" s="16" t="n"/>
      <c r="O13" s="7" t="n"/>
      <c r="P13" s="7">
        <f>IF(OR(L13="TAK",M13="TAK",N13="TAK"),"TAK — kryterium eliminujące",IF(AND(D13&lt;&gt;"",D13&lt;3),"TAK — Marża &lt; 3",IF(AND(J13&lt;&gt;"",J13&lt;3),"TAK — Zgodność &lt; 3","NIE")))</f>
        <v/>
      </c>
      <c r="Q13" s="27">
        <f>IF(LEFT(P13,3)="TAK","ODRZUCONY",IF(K13="","do oceny",IF(K13&gt;=Zalozenia!$B$13,"SHORTLISTA","poniżej progu")))</f>
        <v/>
      </c>
      <c r="R13" s="11" t="n">
        <v>52</v>
      </c>
      <c r="S13" s="28">
        <f>D2_Ekonomika!R13</f>
        <v/>
      </c>
      <c r="T13" s="18" t="inlineStr">
        <is>
          <t>„Część pojazdu” w VAT? ⚠️</t>
        </is>
      </c>
    </row>
    <row r="14">
      <c r="A14" s="7" t="n">
        <v>10</v>
      </c>
      <c r="B14" s="19">
        <f>D1_Rynek!B14</f>
        <v/>
      </c>
      <c r="C14" s="21" t="n"/>
      <c r="D14" s="21" t="n"/>
      <c r="E14" s="21" t="n"/>
      <c r="F14" s="21" t="n"/>
      <c r="G14" s="21" t="n"/>
      <c r="H14" s="21" t="n"/>
      <c r="I14" s="21" t="n"/>
      <c r="J14" s="21" t="n"/>
      <c r="K14" s="26">
        <f>IF(COUNT(C14:J14)&lt;8,"",SUMPRODUCT(C14:J14,$C$3:$J$3))</f>
        <v/>
      </c>
      <c r="L14" s="16" t="n"/>
      <c r="M14" s="16" t="n"/>
      <c r="N14" s="16" t="n"/>
      <c r="O14" s="7" t="n"/>
      <c r="P14" s="7">
        <f>IF(OR(L14="TAK",M14="TAK",N14="TAK"),"TAK — kryterium eliminujące",IF(AND(D14&lt;&gt;"",D14&lt;3),"TAK — Marża &lt; 3",IF(AND(J14&lt;&gt;"",J14&lt;3),"TAK — Zgodność &lt; 3","NIE")))</f>
        <v/>
      </c>
      <c r="Q14" s="27">
        <f>IF(LEFT(P14,3)="TAK","ODRZUCONY",IF(K14="","do oceny",IF(K14&gt;=Zalozenia!$B$13,"SHORTLISTA","poniżej progu")))</f>
        <v/>
      </c>
      <c r="R14" s="11" t="n">
        <v>49</v>
      </c>
      <c r="S14" s="28">
        <f>D2_Ekonomika!R14</f>
        <v/>
      </c>
      <c r="T14" s="18" t="inlineStr">
        <is>
          <t>Rynek przyzwyczajony do niskich cen; szkło</t>
        </is>
      </c>
    </row>
    <row r="15">
      <c r="A15" s="7" t="n">
        <v>11</v>
      </c>
      <c r="B15" s="19">
        <f>D1_Rynek!B15</f>
        <v/>
      </c>
      <c r="C15" s="21" t="n"/>
      <c r="D15" s="21" t="n"/>
      <c r="E15" s="21" t="n"/>
      <c r="F15" s="21" t="n"/>
      <c r="G15" s="21" t="n"/>
      <c r="H15" s="21" t="n"/>
      <c r="I15" s="21" t="n"/>
      <c r="J15" s="21" t="n"/>
      <c r="K15" s="26">
        <f>IF(COUNT(C15:J15)&lt;8,"",SUMPRODUCT(C15:J15,$C$3:$J$3))</f>
        <v/>
      </c>
      <c r="L15" s="16" t="n"/>
      <c r="M15" s="16" t="n"/>
      <c r="N15" s="16" t="n"/>
      <c r="O15" s="7" t="n"/>
      <c r="P15" s="7">
        <f>IF(OR(L15="TAK",M15="TAK",N15="TAK"),"TAK — kryterium eliminujące",IF(AND(D15&lt;&gt;"",D15&lt;3),"TAK — Marża &lt; 3",IF(AND(J15&lt;&gt;"",J15&lt;3),"TAK — Zgodność &lt; 3","NIE")))</f>
        <v/>
      </c>
      <c r="Q15" s="27">
        <f>IF(LEFT(P15,3)="TAK","ODRZUCONY",IF(K15="","do oceny",IF(K15&gt;=Zalozenia!$B$13,"SHORTLISTA","poniżej progu")))</f>
        <v/>
      </c>
      <c r="R15" s="11" t="n">
        <v>51</v>
      </c>
      <c r="S15" s="28">
        <f>D2_Ekonomika!R15</f>
        <v/>
      </c>
      <c r="T15" s="18" t="inlineStr">
        <is>
          <t>Niskie M przy 79 zł</t>
        </is>
      </c>
    </row>
    <row r="16">
      <c r="A16" s="7" t="n">
        <v>12</v>
      </c>
      <c r="B16" s="19">
        <f>D1_Rynek!B16</f>
        <v/>
      </c>
      <c r="C16" s="21" t="n"/>
      <c r="D16" s="21" t="n"/>
      <c r="E16" s="21" t="n"/>
      <c r="F16" s="21" t="n"/>
      <c r="G16" s="21" t="n"/>
      <c r="H16" s="21" t="n"/>
      <c r="I16" s="21" t="n"/>
      <c r="J16" s="21" t="n"/>
      <c r="K16" s="26">
        <f>IF(COUNT(C16:J16)&lt;8,"",SUMPRODUCT(C16:J16,$C$3:$J$3))</f>
        <v/>
      </c>
      <c r="L16" s="16" t="n"/>
      <c r="M16" s="16" t="n"/>
      <c r="N16" s="16" t="n"/>
      <c r="O16" s="7" t="n"/>
      <c r="P16" s="7">
        <f>IF(OR(L16="TAK",M16="TAK",N16="TAK"),"TAK — kryterium eliminujące",IF(AND(D16&lt;&gt;"",D16&lt;3),"TAK — Marża &lt; 3",IF(AND(J16&lt;&gt;"",J16&lt;3),"TAK — Zgodność &lt; 3","NIE")))</f>
        <v/>
      </c>
      <c r="Q16" s="27">
        <f>IF(LEFT(P16,3)="TAK","ODRZUCONY",IF(K16="","do oceny",IF(K16&gt;=Zalozenia!$B$13,"SHORTLISTA","poniżej progu")))</f>
        <v/>
      </c>
      <c r="R16" s="11" t="n">
        <v>44</v>
      </c>
      <c r="S16" s="28">
        <f>D2_Ekonomika!R16</f>
        <v/>
      </c>
      <c r="T16" s="18" t="inlineStr">
        <is>
          <t>Poniżej progu 45 pkt</t>
        </is>
      </c>
    </row>
    <row r="17">
      <c r="A17" s="7" t="n">
        <v>13</v>
      </c>
      <c r="B17" s="19">
        <f>D1_Rynek!B17</f>
        <v/>
      </c>
      <c r="C17" s="21" t="n"/>
      <c r="D17" s="21" t="n"/>
      <c r="E17" s="21" t="n"/>
      <c r="F17" s="21" t="n"/>
      <c r="G17" s="21" t="n"/>
      <c r="H17" s="21" t="n"/>
      <c r="I17" s="21" t="n"/>
      <c r="J17" s="21" t="n"/>
      <c r="K17" s="26">
        <f>IF(COUNT(C17:J17)&lt;8,"",SUMPRODUCT(C17:J17,$C$3:$J$3))</f>
        <v/>
      </c>
      <c r="L17" s="16" t="n"/>
      <c r="M17" s="16" t="n"/>
      <c r="N17" s="16" t="n"/>
      <c r="O17" s="7" t="n"/>
      <c r="P17" s="7">
        <f>IF(OR(L17="TAK",M17="TAK",N17="TAK"),"TAK — kryterium eliminujące",IF(AND(D17&lt;&gt;"",D17&lt;3),"TAK — Marża &lt; 3",IF(AND(J17&lt;&gt;"",J17&lt;3),"TAK — Zgodność &lt; 3","NIE")))</f>
        <v/>
      </c>
      <c r="Q17" s="27">
        <f>IF(LEFT(P17,3)="TAK","ODRZUCONY",IF(K17="","do oceny",IF(K17&gt;=Zalozenia!$B$13,"SHORTLISTA","poniżej progu")))</f>
        <v/>
      </c>
      <c r="R17" s="11" t="n"/>
      <c r="S17" s="28">
        <f>D2_Ekonomika!R17</f>
        <v/>
      </c>
      <c r="T17" s="18" t="n"/>
    </row>
    <row r="18">
      <c r="A18" s="7" t="n">
        <v>14</v>
      </c>
      <c r="B18" s="19">
        <f>D1_Rynek!B18</f>
        <v/>
      </c>
      <c r="C18" s="21" t="n"/>
      <c r="D18" s="21" t="n"/>
      <c r="E18" s="21" t="n"/>
      <c r="F18" s="21" t="n"/>
      <c r="G18" s="21" t="n"/>
      <c r="H18" s="21" t="n"/>
      <c r="I18" s="21" t="n"/>
      <c r="J18" s="21" t="n"/>
      <c r="K18" s="26">
        <f>IF(COUNT(C18:J18)&lt;8,"",SUMPRODUCT(C18:J18,$C$3:$J$3))</f>
        <v/>
      </c>
      <c r="L18" s="16" t="n"/>
      <c r="M18" s="16" t="n"/>
      <c r="N18" s="16" t="n"/>
      <c r="O18" s="7" t="n"/>
      <c r="P18" s="7">
        <f>IF(OR(L18="TAK",M18="TAK",N18="TAK"),"TAK — kryterium eliminujące",IF(AND(D18&lt;&gt;"",D18&lt;3),"TAK — Marża &lt; 3",IF(AND(J18&lt;&gt;"",J18&lt;3),"TAK — Zgodność &lt; 3","NIE")))</f>
        <v/>
      </c>
      <c r="Q18" s="27">
        <f>IF(LEFT(P18,3)="TAK","ODRZUCONY",IF(K18="","do oceny",IF(K18&gt;=Zalozenia!$B$13,"SHORTLISTA","poniżej progu")))</f>
        <v/>
      </c>
      <c r="R18" s="11" t="n"/>
      <c r="S18" s="28">
        <f>D2_Ekonomika!R18</f>
        <v/>
      </c>
      <c r="T18" s="18" t="n"/>
    </row>
    <row r="19">
      <c r="A19" s="7" t="n">
        <v>15</v>
      </c>
      <c r="B19" s="19">
        <f>D1_Rynek!B19</f>
        <v/>
      </c>
      <c r="C19" s="21" t="n"/>
      <c r="D19" s="21" t="n"/>
      <c r="E19" s="21" t="n"/>
      <c r="F19" s="21" t="n"/>
      <c r="G19" s="21" t="n"/>
      <c r="H19" s="21" t="n"/>
      <c r="I19" s="21" t="n"/>
      <c r="J19" s="21" t="n"/>
      <c r="K19" s="26">
        <f>IF(COUNT(C19:J19)&lt;8,"",SUMPRODUCT(C19:J19,$C$3:$J$3))</f>
        <v/>
      </c>
      <c r="L19" s="16" t="n"/>
      <c r="M19" s="16" t="n"/>
      <c r="N19" s="16" t="n"/>
      <c r="O19" s="7" t="n"/>
      <c r="P19" s="7">
        <f>IF(OR(L19="TAK",M19="TAK",N19="TAK"),"TAK — kryterium eliminujące",IF(AND(D19&lt;&gt;"",D19&lt;3),"TAK — Marża &lt; 3",IF(AND(J19&lt;&gt;"",J19&lt;3),"TAK — Zgodność &lt; 3","NIE")))</f>
        <v/>
      </c>
      <c r="Q19" s="27">
        <f>IF(LEFT(P19,3)="TAK","ODRZUCONY",IF(K19="","do oceny",IF(K19&gt;=Zalozenia!$B$13,"SHORTLISTA","poniżej progu")))</f>
        <v/>
      </c>
      <c r="R19" s="11" t="n"/>
      <c r="S19" s="28">
        <f>D2_Ekonomika!R19</f>
        <v/>
      </c>
      <c r="T19" s="18" t="n"/>
    </row>
    <row r="20">
      <c r="A20" s="7" t="n">
        <v>16</v>
      </c>
      <c r="B20" s="19">
        <f>D1_Rynek!B20</f>
        <v/>
      </c>
      <c r="C20" s="21" t="n"/>
      <c r="D20" s="21" t="n"/>
      <c r="E20" s="21" t="n"/>
      <c r="F20" s="21" t="n"/>
      <c r="G20" s="21" t="n"/>
      <c r="H20" s="21" t="n"/>
      <c r="I20" s="21" t="n"/>
      <c r="J20" s="21" t="n"/>
      <c r="K20" s="26">
        <f>IF(COUNT(C20:J20)&lt;8,"",SUMPRODUCT(C20:J20,$C$3:$J$3))</f>
        <v/>
      </c>
      <c r="L20" s="16" t="n"/>
      <c r="M20" s="16" t="n"/>
      <c r="N20" s="16" t="n"/>
      <c r="O20" s="7" t="n"/>
      <c r="P20" s="7">
        <f>IF(OR(L20="TAK",M20="TAK",N20="TAK"),"TAK — kryterium eliminujące",IF(AND(D20&lt;&gt;"",D20&lt;3),"TAK — Marża &lt; 3",IF(AND(J20&lt;&gt;"",J20&lt;3),"TAK — Zgodność &lt; 3","NIE")))</f>
        <v/>
      </c>
      <c r="Q20" s="27">
        <f>IF(LEFT(P20,3)="TAK","ODRZUCONY",IF(K20="","do oceny",IF(K20&gt;=Zalozenia!$B$13,"SHORTLISTA","poniżej progu")))</f>
        <v/>
      </c>
      <c r="R20" s="11" t="n"/>
      <c r="S20" s="28">
        <f>D2_Ekonomika!R20</f>
        <v/>
      </c>
      <c r="T20" s="18" t="n"/>
    </row>
    <row r="21">
      <c r="A21" s="7" t="n">
        <v>17</v>
      </c>
      <c r="B21" s="19">
        <f>D1_Rynek!B21</f>
        <v/>
      </c>
      <c r="C21" s="21" t="n"/>
      <c r="D21" s="21" t="n"/>
      <c r="E21" s="21" t="n"/>
      <c r="F21" s="21" t="n"/>
      <c r="G21" s="21" t="n"/>
      <c r="H21" s="21" t="n"/>
      <c r="I21" s="21" t="n"/>
      <c r="J21" s="21" t="n"/>
      <c r="K21" s="26">
        <f>IF(COUNT(C21:J21)&lt;8,"",SUMPRODUCT(C21:J21,$C$3:$J$3))</f>
        <v/>
      </c>
      <c r="L21" s="16" t="n"/>
      <c r="M21" s="16" t="n"/>
      <c r="N21" s="16" t="n"/>
      <c r="O21" s="7" t="n"/>
      <c r="P21" s="7">
        <f>IF(OR(L21="TAK",M21="TAK",N21="TAK"),"TAK — kryterium eliminujące",IF(AND(D21&lt;&gt;"",D21&lt;3),"TAK — Marża &lt; 3",IF(AND(J21&lt;&gt;"",J21&lt;3),"TAK — Zgodność &lt; 3","NIE")))</f>
        <v/>
      </c>
      <c r="Q21" s="27">
        <f>IF(LEFT(P21,3)="TAK","ODRZUCONY",IF(K21="","do oceny",IF(K21&gt;=Zalozenia!$B$13,"SHORTLISTA","poniżej progu")))</f>
        <v/>
      </c>
      <c r="R21" s="11" t="n"/>
      <c r="S21" s="28">
        <f>D2_Ekonomika!R21</f>
        <v/>
      </c>
      <c r="T21" s="18" t="n"/>
    </row>
  </sheetData>
  <conditionalFormatting sqref="Q5:Q21">
    <cfRule type="cellIs" priority="1" operator="equal" dxfId="2">
      <formula>"SHORTLISTA"</formula>
    </cfRule>
    <cfRule type="cellIs" priority="2" operator="equal" dxfId="0">
      <formula>"ODRZUCONY"</formula>
    </cfRule>
  </conditionalFormatting>
  <dataValidations count="2">
    <dataValidation sqref="C5 C6 C7 C8 C9 C10 C11 C12 C13 C14 C15 C16 C17 C18 C19 C20 C21 D5 D6 D7 D8 D9 D10 D11 D12 D13 D14 D15 D16 D17 D18 D19 D20 D21 E5 E6 E7 E8 E9 E10 E11 E12 E13 E14 E15 E16 E17 E18 E19 E20 E21 F5 F6 F7 F8 F9 F10 F11 F12 F13 F14 F15 F16 F17 F18 F19 F20 F21 G5 G6 G7 G8 G9 G10 G11 G12 G13 G14 G15 G16 G17 G18 G19 G20 G21 H5 H6 H7 H8 H9 H10 H11 H12 H13 H14 H15 H16 H17 H18 H19 H20 H21 I5 I6 I7 I8 I9 I10 I11 I12 I13 I14 I15 I16 I17 I18 I19 I20 I21 J5 J6 J7 J8 J9 J10 J11 J12 J13 J14 J15 J16 J17 J18 J19 J20 J21" showDropDown="0" showInputMessage="0" showErrorMessage="0" allowBlank="1" type="whole" operator="between">
      <formula1>1</formula1>
      <formula2>5</formula2>
    </dataValidation>
    <dataValidation sqref="L5 L6 L7 L8 L9 L10 L11 L12 L13 L14 L15 L16 L17 L18 L19 L20 L21 M5 M6 M7 M8 M9 M10 M11 M12 M13 M14 M15 M16 M17 M18 M19 M20 M21 N5 N6 N7 N8 N9 N10 N11 N12 N13 N14 N15 N16 N17 N18 N19 N20 N21" showDropDown="0" showInputMessage="0" showErrorMessage="0" allowBlank="1" type="list">
      <formula1>"TAK,NIE"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pane xSplit="2" ySplit="4" topLeftCell="C5" activePane="bottomRight" state="frozen"/>
      <selection pane="topRight"/>
      <selection pane="bottomLeft"/>
      <selection pane="bottomRight"/>
      <selection pane="bottomLeft"/>
      <selection pane="bottomRight" activeCell="A1" sqref="A1"/>
    </sheetView>
  </sheetViews>
  <sheetFormatPr baseColWidth="8" defaultRowHeight="15"/>
  <cols>
    <col width="4" customWidth="1" min="1" max="1"/>
    <col width="36" customWidth="1" min="2" max="2"/>
    <col width="12" customWidth="1" min="3" max="3"/>
    <col width="18" customWidth="1" min="4" max="4"/>
    <col width="12" customWidth="1" min="5" max="5"/>
    <col width="13" customWidth="1" min="6" max="6"/>
    <col width="12" customWidth="1" min="7" max="7"/>
    <col width="16" customWidth="1" min="8" max="8"/>
  </cols>
  <sheetData>
    <row r="1">
      <c r="A1" s="1" t="inlineStr">
        <is>
          <t>Filtr własnych pomysłów (przed researchem)</t>
        </is>
      </c>
    </row>
    <row r="2">
      <c r="A2" s="3" t="inlineStr">
        <is>
          <t>Pozycje #13–17 zasilają pozostałe arkusze. Jedno „N” = odpada.</t>
        </is>
      </c>
    </row>
    <row r="4" ht="45" customHeight="1">
      <c r="A4" s="13" t="inlineStr">
        <is>
          <t>#</t>
        </is>
      </c>
      <c r="B4" s="13" t="inlineStr">
        <is>
          <t>Pomysł</t>
        </is>
      </c>
      <c r="C4" s="13" t="inlineStr">
        <is>
          <t>Bez prądu i baterii?</t>
        </is>
      </c>
      <c r="D4" s="13" t="inlineStr">
        <is>
          <t>Nie kosmetyk / nie część auta / nie urządzenie AGD?</t>
        </is>
      </c>
      <c r="E4" s="13" t="inlineStr">
        <is>
          <t>Nie zabawka &lt; 14 lat?</t>
        </is>
      </c>
      <c r="F4" s="13" t="inlineStr">
        <is>
          <t>Bez twierdzeń zdrowotnych?</t>
        </is>
      </c>
      <c r="G4" s="13" t="inlineStr">
        <is>
          <t>Cena 60–250 zł realna?</t>
        </is>
      </c>
      <c r="H4" s="13" t="inlineStr">
        <is>
          <t>Przechodzi? (auto)</t>
        </is>
      </c>
    </row>
    <row r="5"/>
    <row r="17">
      <c r="A17" s="7" t="n">
        <v>13</v>
      </c>
      <c r="B17" s="16" t="n"/>
      <c r="C17" s="16" t="n"/>
      <c r="D17" s="16" t="n"/>
      <c r="E17" s="16" t="n"/>
      <c r="F17" s="16" t="n"/>
      <c r="G17" s="16" t="n"/>
      <c r="H17" s="27">
        <f>IF(B17="","",IF(COUNTIF(C17:G17,"N")&gt;0,"ODPADA",IF(COUNTIF(C17:G17,"T")=5,"PRZECHODZI","uzupełnij")))</f>
        <v/>
      </c>
    </row>
    <row r="18">
      <c r="A18" s="7" t="n">
        <v>14</v>
      </c>
      <c r="B18" s="16" t="n"/>
      <c r="C18" s="16" t="n"/>
      <c r="D18" s="16" t="n"/>
      <c r="E18" s="16" t="n"/>
      <c r="F18" s="16" t="n"/>
      <c r="G18" s="16" t="n"/>
      <c r="H18" s="27">
        <f>IF(B18="","",IF(COUNTIF(C18:G18,"N")&gt;0,"ODPADA",IF(COUNTIF(C18:G18,"T")=5,"PRZECHODZI","uzupełnij")))</f>
        <v/>
      </c>
    </row>
    <row r="19">
      <c r="A19" s="7" t="n">
        <v>15</v>
      </c>
      <c r="B19" s="16" t="n"/>
      <c r="C19" s="16" t="n"/>
      <c r="D19" s="16" t="n"/>
      <c r="E19" s="16" t="n"/>
      <c r="F19" s="16" t="n"/>
      <c r="G19" s="16" t="n"/>
      <c r="H19" s="27">
        <f>IF(B19="","",IF(COUNTIF(C19:G19,"N")&gt;0,"ODPADA",IF(COUNTIF(C19:G19,"T")=5,"PRZECHODZI","uzupełnij")))</f>
        <v/>
      </c>
    </row>
    <row r="20">
      <c r="A20" s="7" t="n">
        <v>16</v>
      </c>
      <c r="B20" s="16" t="n"/>
      <c r="C20" s="16" t="n"/>
      <c r="D20" s="16" t="n"/>
      <c r="E20" s="16" t="n"/>
      <c r="F20" s="16" t="n"/>
      <c r="G20" s="16" t="n"/>
      <c r="H20" s="27">
        <f>IF(B20="","",IF(COUNTIF(C20:G20,"N")&gt;0,"ODPADA",IF(COUNTIF(C20:G20,"T")=5,"PRZECHODZI","uzupełnij")))</f>
        <v/>
      </c>
    </row>
    <row r="21">
      <c r="A21" s="7" t="n">
        <v>17</v>
      </c>
      <c r="B21" s="16" t="n"/>
      <c r="C21" s="16" t="n"/>
      <c r="D21" s="16" t="n"/>
      <c r="E21" s="16" t="n"/>
      <c r="F21" s="16" t="n"/>
      <c r="G21" s="16" t="n"/>
      <c r="H21" s="27">
        <f>IF(B21="","",IF(COUNTIF(C21:G21,"N")&gt;0,"ODPADA",IF(COUNTIF(C21:G21,"T")=5,"PRZECHODZI","uzupełnij")))</f>
        <v/>
      </c>
    </row>
    <row r="23">
      <c r="B23" s="29" t="inlineStr">
        <is>
          <t>Kategorie graniczne (kuchnia, dom, auto): ⚠️ PKWiU do weryfikacji z księgową.</t>
        </is>
      </c>
    </row>
  </sheetData>
  <dataValidations count="1">
    <dataValidation sqref="C17 C18 C19 C20 C21 D17 D18 D19 D20 D21 E17 E18 E19 E20 E21 F17 F18 F19 F20 F21 G17 G18 G19 G20 G21" showDropDown="0" showInputMessage="0" showErrorMessage="0" allowBlank="1" type="list">
      <formula1>"T,N"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2026-09-25T12:36:13Z</dcterms:created>
  <dcterms:modified xsi:type="dcterms:W3CDTF">2026-09-25T12:36:13Z</dcterms:modified>
</cp:coreProperties>
</file>